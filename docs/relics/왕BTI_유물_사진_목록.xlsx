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유물 목록" sheetId="1" state="visible" r:id="rId1"/>
    <sheet xmlns:r="http://schemas.openxmlformats.org/officeDocument/2006/relationships" name="사진 찾는 곳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B9352A"/>
      <sz val="16"/>
    </font>
    <font>
      <name val="맑은 고딕"/>
      <charset val="1"/>
      <family val="0"/>
      <b val="1"/>
      <color rgb="FFB9352A"/>
      <sz val="16"/>
    </font>
    <font>
      <name val="Noto Sans CJK SC"/>
      <family val="2"/>
      <color rgb="FF59665F"/>
      <sz val="10"/>
    </font>
    <font>
      <name val="맑은 고딕"/>
      <charset val="1"/>
      <family val="0"/>
      <color rgb="FF59665F"/>
      <sz val="10"/>
    </font>
    <font>
      <name val="Noto Sans CJK SC"/>
      <family val="2"/>
      <b val="1"/>
      <color rgb="FFFFFFFF"/>
      <sz val="11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B9352A"/>
      <sz val="12"/>
    </font>
    <font>
      <name val="맑은 고딕"/>
      <charset val="1"/>
      <family val="0"/>
      <sz val="10.5"/>
    </font>
    <font>
      <name val="Noto Sans CJK SC"/>
      <family val="2"/>
      <sz val="10.5"/>
    </font>
    <font>
      <name val="Noto Sans CJK SC"/>
      <family val="2"/>
      <b val="1"/>
      <sz val="10.5"/>
    </font>
    <font>
      <name val="맑은 고딕"/>
      <charset val="1"/>
      <family val="0"/>
      <b val="1"/>
      <sz val="10.5"/>
    </font>
    <font>
      <name val="Noto Sans CJK SC"/>
      <family val="2"/>
      <b val="1"/>
      <color rgb="FFFFFFFF"/>
      <sz val="10.5"/>
    </font>
    <font>
      <name val="Noto Sans CJK SC"/>
      <family val="2"/>
      <b val="1"/>
      <color rgb="FF1C2427"/>
      <sz val="10.5"/>
    </font>
    <font>
      <name val="맑은 고딕"/>
      <charset val="1"/>
      <family val="0"/>
      <b val="1"/>
      <color rgb="FF1C2427"/>
      <sz val="10.5"/>
    </font>
    <font>
      <name val="Noto Sans CJK SC"/>
      <family val="2"/>
      <color rgb="FF1C2427"/>
      <sz val="10.5"/>
    </font>
    <font>
      <name val="맑은 고딕"/>
      <charset val="1"/>
      <family val="0"/>
      <color rgb="FF1C2427"/>
      <sz val="10.5"/>
    </font>
  </fonts>
  <fills count="6">
    <fill>
      <patternFill/>
    </fill>
    <fill>
      <patternFill patternType="gray125"/>
    </fill>
    <fill>
      <patternFill patternType="solid">
        <fgColor rgb="FF2C6A57"/>
        <bgColor rgb="FF59665F"/>
      </patternFill>
    </fill>
    <fill>
      <patternFill patternType="solid">
        <fgColor rgb="FFFFFFFF"/>
        <bgColor rgb="FFF3F6F4"/>
      </patternFill>
    </fill>
    <fill>
      <patternFill patternType="solid">
        <fgColor rgb="FFFFF4C2"/>
        <bgColor rgb="FFFFFF99"/>
      </patternFill>
    </fill>
    <fill>
      <patternFill patternType="solid">
        <fgColor rgb="FFF3F6F4"/>
        <bgColor rgb="FFFFFFFF"/>
      </patternFill>
    </fill>
  </fills>
  <borders count="2">
    <border>
      <left/>
      <right/>
      <top/>
      <bottom/>
      <diagonal/>
    </border>
    <border>
      <left style="thin">
        <color rgb="FFC3CFC8"/>
      </left>
      <right style="thin">
        <color rgb="FFC3CFC8"/>
      </right>
      <top style="thin">
        <color rgb="FFC3CFC8"/>
      </top>
      <bottom style="thin">
        <color rgb="FFC3CFC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center"/>
    </xf>
    <xf numFmtId="0" fontId="12" fillId="3" borderId="1" applyAlignment="1" pivotButton="0" quotePrefix="0" xfId="0">
      <alignment horizontal="general" vertical="center"/>
    </xf>
    <xf numFmtId="0" fontId="12" fillId="3" borderId="1" applyAlignment="1" pivotButton="0" quotePrefix="0" xfId="0">
      <alignment horizontal="general" vertical="center" wrapText="1"/>
    </xf>
    <xf numFmtId="0" fontId="13" fillId="3" borderId="1" applyAlignment="1" pivotButton="0" quotePrefix="0" xfId="0">
      <alignment horizontal="general" vertical="center"/>
    </xf>
    <xf numFmtId="0" fontId="11" fillId="3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14" fillId="0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center"/>
    </xf>
    <xf numFmtId="0" fontId="12" fillId="5" borderId="1" applyAlignment="1" pivotButton="0" quotePrefix="0" xfId="0">
      <alignment horizontal="general" vertical="center"/>
    </xf>
    <xf numFmtId="0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/>
    </xf>
    <xf numFmtId="0" fontId="15" fillId="2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center"/>
    </xf>
    <xf numFmtId="0" fontId="12" fillId="3" borderId="1" applyAlignment="1" pivotButton="0" quotePrefix="0" xfId="0">
      <alignment horizontal="general" vertical="center"/>
    </xf>
    <xf numFmtId="0" fontId="12" fillId="3" borderId="1" applyAlignment="1" pivotButton="0" quotePrefix="0" xfId="0">
      <alignment horizontal="general" vertical="center" wrapText="1"/>
    </xf>
    <xf numFmtId="0" fontId="13" fillId="3" borderId="1" applyAlignment="1" pivotButton="0" quotePrefix="0" xfId="0">
      <alignment horizontal="general" vertical="center"/>
    </xf>
    <xf numFmtId="0" fontId="11" fillId="3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14" fillId="0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center"/>
    </xf>
    <xf numFmtId="0" fontId="12" fillId="5" borderId="1" applyAlignment="1" pivotButton="0" quotePrefix="0" xfId="0">
      <alignment horizontal="general" vertical="center"/>
    </xf>
    <xf numFmtId="0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/>
    </xf>
    <xf numFmtId="0" fontId="15" fillId="2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6A57"/>
      <rgbColor rgb="FFC3CFC8"/>
      <rgbColor rgb="FF808080"/>
      <rgbColor rgb="FF9999FF"/>
      <rgbColor rgb="FF993366"/>
      <rgbColor rgb="FFFFF4C2"/>
      <rgbColor rgb="FFF3F6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65F"/>
      <rgbColor rgb="FF969696"/>
      <rgbColor rgb="FF003366"/>
      <rgbColor rgb="FF339966"/>
      <rgbColor rgb="FF003300"/>
      <rgbColor rgb="FF333300"/>
      <rgbColor rgb="FFB9352A"/>
      <rgbColor rgb="FF993366"/>
      <rgbColor rgb="FF333399"/>
      <rgbColor rgb="FF1C242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8" customWidth="1" style="24" min="2" max="2"/>
    <col width="13" customWidth="1" style="24" min="3" max="3"/>
    <col width="26" customWidth="1" style="24" min="4" max="4"/>
    <col width="24" customWidth="1" style="24" min="5" max="5"/>
    <col width="8" customWidth="1" style="24" min="6" max="6"/>
    <col width="46" customWidth="1" style="24" min="7" max="7"/>
    <col width="26" customWidth="1" style="24" min="8" max="8"/>
    <col width="8" customWidth="1" style="24" min="9" max="9"/>
    <col width="26" customWidth="1" style="24" min="10" max="10"/>
    <col width="12" customWidth="1" style="24" min="12" max="12"/>
    <col width="8" customWidth="1" style="24" min="13" max="13"/>
  </cols>
  <sheetData>
    <row r="1" ht="23.85" customHeight="1" s="25">
      <c r="A1" s="26" t="inlineStr">
        <is>
          <t>왕BTI 걸작·보물 사진 모으기 목록</t>
        </is>
      </c>
    </row>
    <row r="2" ht="31.5" customHeight="1" s="25">
      <c r="A2" s="27" t="inlineStr">
        <is>
          <t>사진은 '저장할 파일 이름' 그대로 저장해 한 폴더에 모아 압축(zip)해 주세요. 노란 칸(모음 ✓, 사진 출처)만 채우면 돼요. 공공누리 제1유형 사진은 출처만 밝히면 교육용으로 쓸 수 있어요.</t>
        </is>
      </c>
    </row>
    <row r="4" ht="17.15" customHeight="1" s="25">
      <c r="A4" s="28" t="inlineStr">
        <is>
          <t>번호</t>
        </is>
      </c>
      <c r="B4" s="28" t="inlineStr">
        <is>
          <t>구분</t>
        </is>
      </c>
      <c r="C4" s="28" t="inlineStr">
        <is>
          <t>시대·나라</t>
        </is>
      </c>
      <c r="D4" s="28" t="inlineStr">
        <is>
          <t>게임 속 나라(시나리오)</t>
        </is>
      </c>
      <c r="E4" s="28" t="inlineStr">
        <is>
          <t>유물 이름</t>
        </is>
      </c>
      <c r="F4" s="28" t="inlineStr">
        <is>
          <t>종류</t>
        </is>
      </c>
      <c r="G4" s="28" t="inlineStr">
        <is>
          <t>설명(게임에 나오는 글)</t>
        </is>
      </c>
      <c r="H4" s="28" t="inlineStr">
        <is>
          <t>저장할 파일 이름</t>
        </is>
      </c>
      <c r="I4" s="28" t="inlineStr">
        <is>
          <t>모음 ✓</t>
        </is>
      </c>
      <c r="J4" s="28" t="inlineStr">
        <is>
          <t>사진 출처(예: 국가유산청)</t>
        </is>
      </c>
      <c r="L4" s="29" t="inlineStr">
        <is>
          <t>모은 현황</t>
        </is>
      </c>
    </row>
    <row r="5" ht="31.3" customHeight="1" s="25">
      <c r="A5" s="30" t="n">
        <v>1</v>
      </c>
      <c r="B5" s="31" t="inlineStr">
        <is>
          <t>한국사</t>
        </is>
      </c>
      <c r="C5" s="31" t="inlineStr">
        <is>
          <t>고구려</t>
        </is>
      </c>
      <c r="D5" s="32" t="inlineStr">
        <is>
          <t>고구려 (371년) · 상상 속 '전성기 나라'</t>
        </is>
      </c>
      <c r="E5" s="33" t="inlineStr">
        <is>
          <t>광개토대왕릉비</t>
        </is>
      </c>
      <c r="F5" s="31" t="inlineStr">
        <is>
          <t>비석</t>
        </is>
      </c>
      <c r="G5" s="34" t="inlineStr">
        <is>
          <t>414년, 장수왕이 아버지의 업적을 새긴 6m가 넘는 비석</t>
        </is>
      </c>
      <c r="H5" s="31" t="inlineStr">
        <is>
          <t>광개토대왕릉비.jpg</t>
        </is>
      </c>
      <c r="I5" s="35" t="inlineStr">
        <is>
          <t>✓</t>
        </is>
      </c>
      <c r="J5" s="36" t="inlineStr">
        <is>
          <t>국가유산청 (공공누리 1유형)</t>
        </is>
      </c>
      <c r="L5" s="37" t="inlineStr">
        <is>
          <t>한국사 모음</t>
        </is>
      </c>
      <c r="M5" s="38">
        <f>COUNTIFS(B5:B74,"한국사",I5:I74,"✓")</f>
        <v/>
      </c>
    </row>
    <row r="6" ht="31.3" customHeight="1" s="25">
      <c r="A6" s="30" t="n">
        <v>2</v>
      </c>
      <c r="B6" s="31" t="inlineStr">
        <is>
          <t>한국사</t>
        </is>
      </c>
      <c r="C6" s="31" t="inlineStr">
        <is>
          <t>고구려</t>
        </is>
      </c>
      <c r="D6" s="32" t="inlineStr">
        <is>
          <t>고구려 (371년) · 상상 속 '전성기 나라'</t>
        </is>
      </c>
      <c r="E6" s="33" t="inlineStr">
        <is>
          <t>무용총 수렵도</t>
        </is>
      </c>
      <c r="F6" s="31" t="inlineStr">
        <is>
          <t>벽화</t>
        </is>
      </c>
      <c r="G6" s="32" t="inlineStr">
        <is>
          <t>말 탄 사람들이 활로 사냥하는 고분 벽화</t>
        </is>
      </c>
      <c r="H6" s="31" t="inlineStr">
        <is>
          <t>무용총_수렵도.jpg</t>
        </is>
      </c>
      <c r="I6" s="35" t="inlineStr">
        <is>
          <t>✓</t>
        </is>
      </c>
      <c r="J6" s="36" t="inlineStr">
        <is>
          <t>국가유산청 (공공누리 1유형)</t>
        </is>
      </c>
      <c r="L6" s="37" t="inlineStr">
        <is>
          <t>한국사 전체</t>
        </is>
      </c>
      <c r="M6" s="38">
        <f>COUNTIF(B5:B74,"한국사")</f>
        <v/>
      </c>
    </row>
    <row r="7" ht="31.3" customHeight="1" s="25">
      <c r="A7" s="30" t="n">
        <v>3</v>
      </c>
      <c r="B7" s="31" t="inlineStr">
        <is>
          <t>한국사</t>
        </is>
      </c>
      <c r="C7" s="31" t="inlineStr">
        <is>
          <t>고구려</t>
        </is>
      </c>
      <c r="D7" s="32" t="inlineStr">
        <is>
          <t>고구려 (371년) · 상상 속 '전성기 나라'</t>
        </is>
      </c>
      <c r="E7" s="33" t="inlineStr">
        <is>
          <t>강서대묘 사신도</t>
        </is>
      </c>
      <c r="F7" s="31" t="inlineStr">
        <is>
          <t>벽화</t>
        </is>
      </c>
      <c r="G7" s="32" t="inlineStr">
        <is>
          <t>청룡·백호·주작·현무를 그린 고분 벽화</t>
        </is>
      </c>
      <c r="H7" s="31" t="inlineStr">
        <is>
          <t>강서대묘_사신도.jpg</t>
        </is>
      </c>
      <c r="I7" s="35" t="inlineStr">
        <is>
          <t>✓</t>
        </is>
      </c>
      <c r="J7" s="36" t="inlineStr">
        <is>
          <t>국가유산청 (공공누리 1유형)</t>
        </is>
      </c>
      <c r="L7" s="37" t="inlineStr">
        <is>
          <t>세계사 모음</t>
        </is>
      </c>
      <c r="M7" s="38">
        <f>COUNTIFS(B5:B74,"세계사",I5:I74,"✓")</f>
        <v/>
      </c>
    </row>
    <row r="8" ht="31.3" customHeight="1" s="25">
      <c r="A8" s="30" t="n">
        <v>4</v>
      </c>
      <c r="B8" s="31" t="inlineStr">
        <is>
          <t>한국사</t>
        </is>
      </c>
      <c r="C8" s="31" t="inlineStr">
        <is>
          <t>고구려</t>
        </is>
      </c>
      <c r="D8" s="32" t="inlineStr">
        <is>
          <t>고구려 (371년) · 상상 속 '전성기 나라'</t>
        </is>
      </c>
      <c r="E8" s="33" t="inlineStr">
        <is>
          <t>연가7년명 금동여래입상</t>
        </is>
      </c>
      <c r="F8" s="31" t="inlineStr">
        <is>
          <t>불상</t>
        </is>
      </c>
      <c r="G8" s="32" t="inlineStr">
        <is>
          <t>고구려에서 만든 글씨가 새겨진 금동 불상</t>
        </is>
      </c>
      <c r="H8" s="31" t="inlineStr">
        <is>
          <t>연가7년명_금동여래입상.jpg</t>
        </is>
      </c>
      <c r="I8" s="35" t="inlineStr">
        <is>
          <t>✓</t>
        </is>
      </c>
      <c r="J8" s="36" t="inlineStr">
        <is>
          <t>국가유산청 (공공누리 1유형)</t>
        </is>
      </c>
      <c r="L8" s="37" t="inlineStr">
        <is>
          <t>세계사 전체</t>
        </is>
      </c>
      <c r="M8" s="38">
        <f>COUNTIF(B5:B74,"세계사")</f>
        <v/>
      </c>
    </row>
    <row r="9" ht="31.3" customHeight="1" s="25">
      <c r="A9" s="30" t="n">
        <v>5</v>
      </c>
      <c r="B9" s="31" t="inlineStr">
        <is>
          <t>한국사</t>
        </is>
      </c>
      <c r="C9" s="31" t="inlineStr">
        <is>
          <t>고구려</t>
        </is>
      </c>
      <c r="D9" s="32" t="inlineStr">
        <is>
          <t>고구려 (371년) · 상상 속 '전성기 나라'</t>
        </is>
      </c>
      <c r="E9" s="33" t="inlineStr">
        <is>
          <t>『유기』 100권</t>
        </is>
      </c>
      <c r="F9" s="31" t="inlineStr">
        <is>
          <t>역사서</t>
        </is>
      </c>
      <c r="G9" s="32" t="inlineStr">
        <is>
          <t>고구려 초기에 쓴 역사책</t>
        </is>
      </c>
      <c r="H9" s="31" t="inlineStr">
        <is>
          <t>유기_100권.jpg</t>
        </is>
      </c>
      <c r="I9" s="35" t="inlineStr">
        <is>
          <t>✓</t>
        </is>
      </c>
      <c r="J9" s="36" t="inlineStr">
        <is>
          <t>국가유산청 (공공누리 1유형)</t>
        </is>
      </c>
      <c r="L9" s="37" t="inlineStr">
        <is>
          <t>전체 모음</t>
        </is>
      </c>
      <c r="M9" s="38">
        <f>COUNTIF(I5:I74,"✓")</f>
        <v/>
      </c>
    </row>
    <row r="10" ht="31.3" customHeight="1" s="25">
      <c r="A10" s="30" t="n">
        <v>6</v>
      </c>
      <c r="B10" s="31" t="inlineStr">
        <is>
          <t>한국사</t>
        </is>
      </c>
      <c r="C10" s="31" t="inlineStr">
        <is>
          <t>고구려</t>
        </is>
      </c>
      <c r="D10" s="32" t="inlineStr">
        <is>
          <t>고구려 (371년) · 상상 속 '전성기 나라'</t>
        </is>
      </c>
      <c r="E10" s="33" t="inlineStr">
        <is>
          <t>안악 3호분 행렬도</t>
        </is>
      </c>
      <c r="F10" s="31" t="inlineStr">
        <is>
          <t>벽화</t>
        </is>
      </c>
      <c r="G10" s="34" t="inlineStr">
        <is>
          <t>250여 명이 줄지어 가는 고분 벽화</t>
        </is>
      </c>
      <c r="H10" s="31" t="inlineStr">
        <is>
          <t>안악_3호분_행렬도.jpg</t>
        </is>
      </c>
      <c r="I10" s="35" t="inlineStr">
        <is>
          <t>✓</t>
        </is>
      </c>
      <c r="J10" s="36" t="inlineStr">
        <is>
          <t>국가유산청 (공공누리 1유형)</t>
        </is>
      </c>
      <c r="L10" s="37" t="inlineStr">
        <is>
          <t>진행률</t>
        </is>
      </c>
      <c r="M10" s="39">
        <f>IFERROR(M9/COUNTA(E5:E74),0)</f>
        <v/>
      </c>
    </row>
    <row r="11" ht="16.4" customHeight="1" s="25">
      <c r="A11" s="30" t="n">
        <v>7</v>
      </c>
      <c r="B11" s="31" t="inlineStr">
        <is>
          <t>한국사</t>
        </is>
      </c>
      <c r="C11" s="31" t="inlineStr">
        <is>
          <t>백제</t>
        </is>
      </c>
      <c r="D11" s="32" t="inlineStr">
        <is>
          <t>백제 (346년) · 백제 (656년)</t>
        </is>
      </c>
      <c r="E11" s="33" t="inlineStr">
        <is>
          <t>백제 금동대향로</t>
        </is>
      </c>
      <c r="F11" s="31" t="inlineStr">
        <is>
          <t>공예</t>
        </is>
      </c>
      <c r="G11" s="32" t="inlineStr">
        <is>
          <t>부여 능산리에서 나온, 신선 세계를 새긴 향로</t>
        </is>
      </c>
      <c r="H11" s="31" t="inlineStr">
        <is>
          <t>백제_금동대향로.jpg</t>
        </is>
      </c>
      <c r="I11" s="35" t="inlineStr">
        <is>
          <t>✓</t>
        </is>
      </c>
      <c r="J11" s="36" t="inlineStr">
        <is>
          <t>국가유산청 (공공누리 1유형)</t>
        </is>
      </c>
    </row>
    <row r="12" ht="16.4" customHeight="1" s="25">
      <c r="A12" s="30" t="n">
        <v>8</v>
      </c>
      <c r="B12" s="31" t="inlineStr">
        <is>
          <t>한국사</t>
        </is>
      </c>
      <c r="C12" s="31" t="inlineStr">
        <is>
          <t>백제</t>
        </is>
      </c>
      <c r="D12" s="32" t="inlineStr">
        <is>
          <t>백제 (346년) · 백제 (656년)</t>
        </is>
      </c>
      <c r="E12" s="33" t="inlineStr">
        <is>
          <t>서산 마애여래삼존상</t>
        </is>
      </c>
      <c r="F12" s="31" t="inlineStr">
        <is>
          <t>불상</t>
        </is>
      </c>
      <c r="G12" s="34" t="inlineStr">
        <is>
          <t>'백제의 미소'라 불리는 바위 부처</t>
        </is>
      </c>
      <c r="H12" s="31" t="inlineStr">
        <is>
          <t>서산_마애여래삼존상.jpg</t>
        </is>
      </c>
      <c r="I12" s="35" t="inlineStr">
        <is>
          <t>✓</t>
        </is>
      </c>
      <c r="J12" s="36" t="inlineStr">
        <is>
          <t>국가유산청 (공공누리 1유형)</t>
        </is>
      </c>
    </row>
    <row r="13" ht="16.4" customHeight="1" s="25">
      <c r="A13" s="30" t="n">
        <v>9</v>
      </c>
      <c r="B13" s="31" t="inlineStr">
        <is>
          <t>한국사</t>
        </is>
      </c>
      <c r="C13" s="31" t="inlineStr">
        <is>
          <t>백제</t>
        </is>
      </c>
      <c r="D13" s="32" t="inlineStr">
        <is>
          <t>백제 (346년) · 백제 (656년)</t>
        </is>
      </c>
      <c r="E13" s="33" t="inlineStr">
        <is>
          <t>칠지도</t>
        </is>
      </c>
      <c r="F13" s="31" t="inlineStr">
        <is>
          <t>공예</t>
        </is>
      </c>
      <c r="G13" s="32" t="inlineStr">
        <is>
          <t>가지가 일곱 개 달린 쇠칼, 왜에 보낸 선물</t>
        </is>
      </c>
      <c r="H13" s="31" t="inlineStr">
        <is>
          <t>칠지도.jpg</t>
        </is>
      </c>
      <c r="I13" s="35" t="inlineStr">
        <is>
          <t>✓</t>
        </is>
      </c>
      <c r="J13" s="36" t="inlineStr">
        <is>
          <t>국가유산청 (공공누리 1유형)</t>
        </is>
      </c>
    </row>
    <row r="14" ht="16.4" customHeight="1" s="25">
      <c r="A14" s="30" t="n">
        <v>10</v>
      </c>
      <c r="B14" s="31" t="inlineStr">
        <is>
          <t>한국사</t>
        </is>
      </c>
      <c r="C14" s="31" t="inlineStr">
        <is>
          <t>백제</t>
        </is>
      </c>
      <c r="D14" s="32" t="inlineStr">
        <is>
          <t>백제 (346년) · 백제 (656년)</t>
        </is>
      </c>
      <c r="E14" s="33" t="inlineStr">
        <is>
          <t>무령왕릉 금제 관장식</t>
        </is>
      </c>
      <c r="F14" s="31" t="inlineStr">
        <is>
          <t>공예</t>
        </is>
      </c>
      <c r="G14" s="32" t="inlineStr">
        <is>
          <t>불꽃 모양의 금 관장식</t>
        </is>
      </c>
      <c r="H14" s="31" t="inlineStr">
        <is>
          <t>무령왕릉_금제_관장식.jpg</t>
        </is>
      </c>
      <c r="I14" s="35" t="inlineStr">
        <is>
          <t>✓</t>
        </is>
      </c>
      <c r="J14" s="36" t="inlineStr">
        <is>
          <t>국가유산청 (공공누리 1유형)</t>
        </is>
      </c>
    </row>
    <row r="15" ht="16.4" customHeight="1" s="25">
      <c r="A15" s="30" t="n">
        <v>11</v>
      </c>
      <c r="B15" s="31" t="inlineStr">
        <is>
          <t>한국사</t>
        </is>
      </c>
      <c r="C15" s="31" t="inlineStr">
        <is>
          <t>백제</t>
        </is>
      </c>
      <c r="D15" s="32" t="inlineStr">
        <is>
          <t>백제 (346년) · 백제 (656년)</t>
        </is>
      </c>
      <c r="E15" s="33" t="inlineStr">
        <is>
          <t>정림사지 오층 석탑</t>
        </is>
      </c>
      <c r="F15" s="31" t="inlineStr">
        <is>
          <t>탑</t>
        </is>
      </c>
      <c r="G15" s="32" t="inlineStr">
        <is>
          <t>부여에 서 있는 백제의 석탑</t>
        </is>
      </c>
      <c r="H15" s="31" t="inlineStr">
        <is>
          <t>정림사지_오층_석탑.jpg</t>
        </is>
      </c>
      <c r="I15" s="35" t="inlineStr">
        <is>
          <t>✓</t>
        </is>
      </c>
      <c r="J15" s="36" t="inlineStr">
        <is>
          <t>국가유산청 (공공누리 1유형)</t>
        </is>
      </c>
    </row>
    <row r="16" ht="16.4" customHeight="1" s="25">
      <c r="A16" s="30" t="n">
        <v>12</v>
      </c>
      <c r="B16" s="31" t="inlineStr">
        <is>
          <t>한국사</t>
        </is>
      </c>
      <c r="C16" s="31" t="inlineStr">
        <is>
          <t>백제</t>
        </is>
      </c>
      <c r="D16" s="32" t="inlineStr">
        <is>
          <t>백제 (346년) · 백제 (656년)</t>
        </is>
      </c>
      <c r="E16" s="33" t="inlineStr">
        <is>
          <t>미륵사지 석탑</t>
        </is>
      </c>
      <c r="F16" s="31" t="inlineStr">
        <is>
          <t>탑</t>
        </is>
      </c>
      <c r="G16" s="32" t="inlineStr">
        <is>
          <t>익산에 있는 우리나라에서 가장 오래되고 큰 석탑</t>
        </is>
      </c>
      <c r="H16" s="31" t="inlineStr">
        <is>
          <t>미륵사지_석탑.jpg</t>
        </is>
      </c>
      <c r="I16" s="35" t="inlineStr">
        <is>
          <t>✓</t>
        </is>
      </c>
      <c r="J16" s="36" t="inlineStr">
        <is>
          <t>국가유산청 (공공누리 1유형)</t>
        </is>
      </c>
    </row>
    <row r="17" ht="16.4" customHeight="1" s="25">
      <c r="A17" s="30" t="n">
        <v>13</v>
      </c>
      <c r="B17" s="31" t="inlineStr">
        <is>
          <t>한국사</t>
        </is>
      </c>
      <c r="C17" s="31" t="inlineStr">
        <is>
          <t>백제</t>
        </is>
      </c>
      <c r="D17" s="32" t="inlineStr">
        <is>
          <t>백제 (346년) · 백제 (656년)</t>
        </is>
      </c>
      <c r="E17" s="33" t="inlineStr">
        <is>
          <t>『서기』</t>
        </is>
      </c>
      <c r="F17" s="31" t="inlineStr">
        <is>
          <t>역사서</t>
        </is>
      </c>
      <c r="G17" s="32" t="inlineStr">
        <is>
          <t>근초고왕 때 고흥이 쓴 역사책</t>
        </is>
      </c>
      <c r="H17" s="31" t="inlineStr">
        <is>
          <t>서기.jpg</t>
        </is>
      </c>
      <c r="I17" s="35" t="inlineStr">
        <is>
          <t>✓</t>
        </is>
      </c>
      <c r="J17" s="36" t="inlineStr">
        <is>
          <t>국가유산청 (공공누리 1유형)</t>
        </is>
      </c>
    </row>
    <row r="18" ht="31.3" customHeight="1" s="25">
      <c r="A18" s="30" t="n">
        <v>14</v>
      </c>
      <c r="B18" s="31" t="inlineStr">
        <is>
          <t>한국사</t>
        </is>
      </c>
      <c r="C18" s="31" t="inlineStr">
        <is>
          <t>신라</t>
        </is>
      </c>
      <c r="D18" s="32" t="inlineStr">
        <is>
          <t>신라 (514년) · 상상 속 '작은 나라'</t>
        </is>
      </c>
      <c r="E18" s="33" t="inlineStr">
        <is>
          <t>첨성대</t>
        </is>
      </c>
      <c r="F18" s="31" t="inlineStr">
        <is>
          <t>과학</t>
        </is>
      </c>
      <c r="G18" s="32" t="inlineStr">
        <is>
          <t>선덕 여왕 때 세운 별을 보는 대</t>
        </is>
      </c>
      <c r="H18" s="31" t="inlineStr">
        <is>
          <t>첨성대.jpg</t>
        </is>
      </c>
      <c r="I18" s="35" t="inlineStr">
        <is>
          <t>✓</t>
        </is>
      </c>
      <c r="J18" s="36" t="inlineStr">
        <is>
          <t>국가유산청 (공공누리 1유형)</t>
        </is>
      </c>
    </row>
    <row r="19" ht="31.3" customHeight="1" s="25">
      <c r="A19" s="30" t="n">
        <v>15</v>
      </c>
      <c r="B19" s="31" t="inlineStr">
        <is>
          <t>한국사</t>
        </is>
      </c>
      <c r="C19" s="31" t="inlineStr">
        <is>
          <t>신라</t>
        </is>
      </c>
      <c r="D19" s="32" t="inlineStr">
        <is>
          <t>신라 (514년) · 상상 속 '작은 나라'</t>
        </is>
      </c>
      <c r="E19" s="33" t="inlineStr">
        <is>
          <t>황룡사 9층 목탑</t>
        </is>
      </c>
      <c r="F19" s="31" t="inlineStr">
        <is>
          <t>탑</t>
        </is>
      </c>
      <c r="G19" s="32" t="inlineStr">
        <is>
          <t>높이 80m에 이르렀다는 나무 탑</t>
        </is>
      </c>
      <c r="H19" s="31" t="inlineStr">
        <is>
          <t>황룡사_9층_목탑.jpg</t>
        </is>
      </c>
      <c r="I19" s="35" t="inlineStr">
        <is>
          <t>✓</t>
        </is>
      </c>
      <c r="J19" s="36" t="inlineStr">
        <is>
          <t>국가유산청 (공공누리 1유형)</t>
        </is>
      </c>
    </row>
    <row r="20" ht="31.3" customHeight="1" s="25">
      <c r="A20" s="30" t="n">
        <v>16</v>
      </c>
      <c r="B20" s="31" t="inlineStr">
        <is>
          <t>한국사</t>
        </is>
      </c>
      <c r="C20" s="31" t="inlineStr">
        <is>
          <t>신라</t>
        </is>
      </c>
      <c r="D20" s="32" t="inlineStr">
        <is>
          <t>신라 (514년) · 상상 속 '작은 나라'</t>
        </is>
      </c>
      <c r="E20" s="33" t="inlineStr">
        <is>
          <t>천마총 금관</t>
        </is>
      </c>
      <c r="F20" s="31" t="inlineStr">
        <is>
          <t>공예</t>
        </is>
      </c>
      <c r="G20" s="32" t="inlineStr">
        <is>
          <t>나뭇가지·사슴뿔 모양의 신라 금관</t>
        </is>
      </c>
      <c r="H20" s="31" t="inlineStr">
        <is>
          <t>천마총_금관.jpg</t>
        </is>
      </c>
      <c r="I20" s="35" t="inlineStr">
        <is>
          <t>✓</t>
        </is>
      </c>
      <c r="J20" s="36" t="inlineStr">
        <is>
          <t>국가유산청 (공공누리 1유형)</t>
        </is>
      </c>
    </row>
    <row r="21" ht="31.3" customHeight="1" s="25">
      <c r="A21" s="30" t="n">
        <v>17</v>
      </c>
      <c r="B21" s="31" t="inlineStr">
        <is>
          <t>한국사</t>
        </is>
      </c>
      <c r="C21" s="31" t="inlineStr">
        <is>
          <t>신라</t>
        </is>
      </c>
      <c r="D21" s="32" t="inlineStr">
        <is>
          <t>신라 (514년) · 상상 속 '작은 나라'</t>
        </is>
      </c>
      <c r="E21" s="33" t="inlineStr">
        <is>
          <t>천마도</t>
        </is>
      </c>
      <c r="F21" s="31" t="inlineStr">
        <is>
          <t>그림</t>
        </is>
      </c>
      <c r="G21" s="32" t="inlineStr">
        <is>
          <t>말다래에 그린 하늘을 나는 말</t>
        </is>
      </c>
      <c r="H21" s="31" t="inlineStr">
        <is>
          <t>천마도.jpg</t>
        </is>
      </c>
      <c r="I21" s="35" t="inlineStr">
        <is>
          <t>✓</t>
        </is>
      </c>
      <c r="J21" s="36" t="inlineStr">
        <is>
          <t>국가유산청 (공공누리 1유형)</t>
        </is>
      </c>
    </row>
    <row r="22" ht="31.3" customHeight="1" s="25">
      <c r="A22" s="30" t="n">
        <v>18</v>
      </c>
      <c r="B22" s="31" t="inlineStr">
        <is>
          <t>한국사</t>
        </is>
      </c>
      <c r="C22" s="31" t="inlineStr">
        <is>
          <t>신라</t>
        </is>
      </c>
      <c r="D22" s="32" t="inlineStr">
        <is>
          <t>신라 (514년) · 상상 속 '작은 나라'</t>
        </is>
      </c>
      <c r="E22" s="33" t="inlineStr">
        <is>
          <t>성덕대왕 신종</t>
        </is>
      </c>
      <c r="F22" s="31" t="inlineStr">
        <is>
          <t>종</t>
        </is>
      </c>
      <c r="G22" s="34" t="inlineStr">
        <is>
          <t>'에밀레종'으로도 불리는 큰 종</t>
        </is>
      </c>
      <c r="H22" s="31" t="inlineStr">
        <is>
          <t>성덕대왕_신종.jpg</t>
        </is>
      </c>
      <c r="I22" s="35" t="inlineStr">
        <is>
          <t>✓</t>
        </is>
      </c>
      <c r="J22" s="36" t="inlineStr">
        <is>
          <t>국가유산청 (공공누리 1유형)</t>
        </is>
      </c>
    </row>
    <row r="23" ht="31.3" customHeight="1" s="25">
      <c r="A23" s="30" t="n">
        <v>19</v>
      </c>
      <c r="B23" s="31" t="inlineStr">
        <is>
          <t>한국사</t>
        </is>
      </c>
      <c r="C23" s="31" t="inlineStr">
        <is>
          <t>신라</t>
        </is>
      </c>
      <c r="D23" s="32" t="inlineStr">
        <is>
          <t>신라 (514년) · 상상 속 '작은 나라'</t>
        </is>
      </c>
      <c r="E23" s="33" t="inlineStr">
        <is>
          <t>석굴암 본존불</t>
        </is>
      </c>
      <c r="F23" s="31" t="inlineStr">
        <is>
          <t>불상</t>
        </is>
      </c>
      <c r="G23" s="32" t="inlineStr">
        <is>
          <t>돌을 깎아 만든 동굴 사원의 부처</t>
        </is>
      </c>
      <c r="H23" s="31" t="inlineStr">
        <is>
          <t>석굴암_본존불.jpg</t>
        </is>
      </c>
      <c r="I23" s="35" t="inlineStr">
        <is>
          <t>✓</t>
        </is>
      </c>
      <c r="J23" s="36" t="inlineStr">
        <is>
          <t>국가유산청 (공공누리 1유형)</t>
        </is>
      </c>
    </row>
    <row r="24" ht="31.3" customHeight="1" s="25">
      <c r="A24" s="30" t="n">
        <v>20</v>
      </c>
      <c r="B24" s="31" t="inlineStr">
        <is>
          <t>한국사</t>
        </is>
      </c>
      <c r="C24" s="31" t="inlineStr">
        <is>
          <t>신라</t>
        </is>
      </c>
      <c r="D24" s="32" t="inlineStr">
        <is>
          <t>신라 (514년) · 상상 속 '작은 나라'</t>
        </is>
      </c>
      <c r="E24" s="33" t="inlineStr">
        <is>
          <t>불국사 다보탑</t>
        </is>
      </c>
      <c r="F24" s="31" t="inlineStr">
        <is>
          <t>탑</t>
        </is>
      </c>
      <c r="G24" s="32" t="inlineStr">
        <is>
          <t>화려한 모양의 돌탑</t>
        </is>
      </c>
      <c r="H24" s="31" t="inlineStr">
        <is>
          <t>불국사_다보탑.jpg</t>
        </is>
      </c>
      <c r="I24" s="35" t="inlineStr">
        <is>
          <t>✓</t>
        </is>
      </c>
      <c r="J24" s="36" t="inlineStr">
        <is>
          <t>국가유산청 (공공누리 1유형)</t>
        </is>
      </c>
    </row>
    <row r="25" ht="31.3" customHeight="1" s="25">
      <c r="A25" s="30" t="n">
        <v>21</v>
      </c>
      <c r="B25" s="31" t="inlineStr">
        <is>
          <t>한국사</t>
        </is>
      </c>
      <c r="C25" s="31" t="inlineStr">
        <is>
          <t>신라</t>
        </is>
      </c>
      <c r="D25" s="32" t="inlineStr">
        <is>
          <t>신라 (514년) · 상상 속 '작은 나라'</t>
        </is>
      </c>
      <c r="E25" s="33" t="inlineStr">
        <is>
          <t>『국사』</t>
        </is>
      </c>
      <c r="F25" s="31" t="inlineStr">
        <is>
          <t>역사서</t>
        </is>
      </c>
      <c r="G25" s="32" t="inlineStr">
        <is>
          <t>진흥왕 때 거칠부가 쓴 역사책</t>
        </is>
      </c>
      <c r="H25" s="31" t="inlineStr">
        <is>
          <t>국사.jpg</t>
        </is>
      </c>
      <c r="I25" s="35" t="inlineStr">
        <is>
          <t>✓</t>
        </is>
      </c>
      <c r="J25" s="36" t="inlineStr">
        <is>
          <t>국가유산청 (공공누리 1유형)</t>
        </is>
      </c>
    </row>
    <row r="26" ht="31.3" customHeight="1" s="25">
      <c r="A26" s="30" t="n">
        <v>22</v>
      </c>
      <c r="B26" s="31" t="inlineStr">
        <is>
          <t>한국사</t>
        </is>
      </c>
      <c r="C26" s="31" t="inlineStr">
        <is>
          <t>고려</t>
        </is>
      </c>
      <c r="D26" s="32" t="inlineStr">
        <is>
          <t>고려 (918년) · 상상 속 '호족이 흩어진 나라'</t>
        </is>
      </c>
      <c r="E26" s="33" t="inlineStr">
        <is>
          <t>상감 청자</t>
        </is>
      </c>
      <c r="F26" s="31" t="inlineStr">
        <is>
          <t>공예</t>
        </is>
      </c>
      <c r="G26" s="32" t="inlineStr">
        <is>
          <t>무늬를 파고 흙을 메워 구운 비취색 도자기</t>
        </is>
      </c>
      <c r="H26" s="31" t="inlineStr">
        <is>
          <t>상감_청자.jpg</t>
        </is>
      </c>
      <c r="I26" s="35" t="inlineStr">
        <is>
          <t>✓</t>
        </is>
      </c>
      <c r="J26" s="36" t="inlineStr">
        <is>
          <t>국가유산청 (공공누리 1유형)</t>
        </is>
      </c>
    </row>
    <row r="27" ht="31.3" customHeight="1" s="25">
      <c r="A27" s="30" t="n">
        <v>23</v>
      </c>
      <c r="B27" s="31" t="inlineStr">
        <is>
          <t>한국사</t>
        </is>
      </c>
      <c r="C27" s="31" t="inlineStr">
        <is>
          <t>고려</t>
        </is>
      </c>
      <c r="D27" s="32" t="inlineStr">
        <is>
          <t>고려 (918년) · 상상 속 '호족이 흩어진 나라'</t>
        </is>
      </c>
      <c r="E27" s="33" t="inlineStr">
        <is>
          <t>팔만대장경</t>
        </is>
      </c>
      <c r="F27" s="31" t="inlineStr">
        <is>
          <t>책</t>
        </is>
      </c>
      <c r="G27" s="32" t="inlineStr">
        <is>
          <t>몽골 침입 때 8만 장이 넘는 나무판에 새긴 불경</t>
        </is>
      </c>
      <c r="H27" s="31" t="inlineStr">
        <is>
          <t>팔만대장경.jpg</t>
        </is>
      </c>
      <c r="I27" s="35" t="inlineStr">
        <is>
          <t>✓</t>
        </is>
      </c>
      <c r="J27" s="36" t="inlineStr">
        <is>
          <t>국가유산청 (공공누리 1유형)</t>
        </is>
      </c>
    </row>
    <row r="28" ht="31.3" customHeight="1" s="25">
      <c r="A28" s="30" t="n">
        <v>24</v>
      </c>
      <c r="B28" s="31" t="inlineStr">
        <is>
          <t>한국사</t>
        </is>
      </c>
      <c r="C28" s="31" t="inlineStr">
        <is>
          <t>고려</t>
        </is>
      </c>
      <c r="D28" s="32" t="inlineStr">
        <is>
          <t>고려 (918년) · 상상 속 '호족이 흩어진 나라'</t>
        </is>
      </c>
      <c r="E28" s="33" t="inlineStr">
        <is>
          <t>『직지심체요절』</t>
        </is>
      </c>
      <c r="F28" s="31" t="inlineStr">
        <is>
          <t>책</t>
        </is>
      </c>
      <c r="G28" s="32" t="inlineStr">
        <is>
          <t>현재 남아 있는 가장 오래된 금속 활자 책</t>
        </is>
      </c>
      <c r="H28" s="31" t="inlineStr">
        <is>
          <t>직지심체요절.jpg</t>
        </is>
      </c>
      <c r="I28" s="35" t="inlineStr">
        <is>
          <t>✓</t>
        </is>
      </c>
      <c r="J28" s="36" t="inlineStr">
        <is>
          <t>국가유산청 (공공누리 1유형)</t>
        </is>
      </c>
    </row>
    <row r="29" ht="31.3" customHeight="1" s="25">
      <c r="A29" s="30" t="n">
        <v>25</v>
      </c>
      <c r="B29" s="31" t="inlineStr">
        <is>
          <t>한국사</t>
        </is>
      </c>
      <c r="C29" s="31" t="inlineStr">
        <is>
          <t>고려</t>
        </is>
      </c>
      <c r="D29" s="32" t="inlineStr">
        <is>
          <t>고려 (918년) · 상상 속 '호족이 흩어진 나라'</t>
        </is>
      </c>
      <c r="E29" s="33" t="inlineStr">
        <is>
          <t>『삼국사기』</t>
        </is>
      </c>
      <c r="F29" s="31" t="inlineStr">
        <is>
          <t>역사서</t>
        </is>
      </c>
      <c r="G29" s="32" t="inlineStr">
        <is>
          <t>김부식이 쓴 삼국의 역사책</t>
        </is>
      </c>
      <c r="H29" s="31" t="inlineStr">
        <is>
          <t>삼국사기.jpg</t>
        </is>
      </c>
      <c r="I29" s="35" t="inlineStr">
        <is>
          <t>✓</t>
        </is>
      </c>
      <c r="J29" s="36" t="inlineStr">
        <is>
          <t>국가유산청 (공공누리 1유형)</t>
        </is>
      </c>
    </row>
    <row r="30" ht="31.3" customHeight="1" s="25">
      <c r="A30" s="30" t="n">
        <v>26</v>
      </c>
      <c r="B30" s="31" t="inlineStr">
        <is>
          <t>한국사</t>
        </is>
      </c>
      <c r="C30" s="31" t="inlineStr">
        <is>
          <t>고려</t>
        </is>
      </c>
      <c r="D30" s="32" t="inlineStr">
        <is>
          <t>고려 (918년) · 상상 속 '호족이 흩어진 나라'</t>
        </is>
      </c>
      <c r="E30" s="33" t="inlineStr">
        <is>
          <t>부석사 무량수전</t>
        </is>
      </c>
      <c r="F30" s="31" t="inlineStr">
        <is>
          <t>건축</t>
        </is>
      </c>
      <c r="G30" s="32" t="inlineStr">
        <is>
          <t>배흘림기둥이 아름다운 나무 건물</t>
        </is>
      </c>
      <c r="H30" s="31" t="inlineStr">
        <is>
          <t>부석사_무량수전.jpg</t>
        </is>
      </c>
      <c r="I30" s="35" t="inlineStr">
        <is>
          <t>✓</t>
        </is>
      </c>
      <c r="J30" s="36" t="inlineStr">
        <is>
          <t>국가유산청 (공공누리 1유형)</t>
        </is>
      </c>
    </row>
    <row r="31" ht="31.3" customHeight="1" s="25">
      <c r="A31" s="30" t="n">
        <v>27</v>
      </c>
      <c r="B31" s="31" t="inlineStr">
        <is>
          <t>한국사</t>
        </is>
      </c>
      <c r="C31" s="31" t="inlineStr">
        <is>
          <t>고려</t>
        </is>
      </c>
      <c r="D31" s="32" t="inlineStr">
        <is>
          <t>고려 (918년) · 상상 속 '호족이 흩어진 나라'</t>
        </is>
      </c>
      <c r="E31" s="33" t="inlineStr">
        <is>
          <t>나전칠기 경함</t>
        </is>
      </c>
      <c r="F31" s="31" t="inlineStr">
        <is>
          <t>공예</t>
        </is>
      </c>
      <c r="G31" s="32" t="inlineStr">
        <is>
          <t>자개를 붙여 만든 반짝이는 상자</t>
        </is>
      </c>
      <c r="H31" s="31" t="inlineStr">
        <is>
          <t>나전칠기_경함.jpg</t>
        </is>
      </c>
      <c r="I31" s="35" t="inlineStr">
        <is>
          <t>✓</t>
        </is>
      </c>
      <c r="J31" s="36" t="inlineStr">
        <is>
          <t>국가유산청 (공공누리 1유형)</t>
        </is>
      </c>
    </row>
    <row r="32" ht="31.3" customHeight="1" s="25">
      <c r="A32" s="30" t="n">
        <v>28</v>
      </c>
      <c r="B32" s="31" t="inlineStr">
        <is>
          <t>한국사</t>
        </is>
      </c>
      <c r="C32" s="31" t="inlineStr">
        <is>
          <t>고려</t>
        </is>
      </c>
      <c r="D32" s="32" t="inlineStr">
        <is>
          <t>고려 (918년) · 상상 속 '호족이 흩어진 나라'</t>
        </is>
      </c>
      <c r="E32" s="33" t="inlineStr">
        <is>
          <t>수월관음도</t>
        </is>
      </c>
      <c r="F32" s="31" t="inlineStr">
        <is>
          <t>그림</t>
        </is>
      </c>
      <c r="G32" s="32" t="inlineStr">
        <is>
          <t>고려 불화의 대표 작품</t>
        </is>
      </c>
      <c r="H32" s="31" t="inlineStr">
        <is>
          <t>수월관음도.jpg</t>
        </is>
      </c>
      <c r="I32" s="35" t="inlineStr">
        <is>
          <t>✓</t>
        </is>
      </c>
      <c r="J32" s="36" t="inlineStr">
        <is>
          <t>국가유산청 (공공누리 1유형)</t>
        </is>
      </c>
    </row>
    <row r="33" ht="16.4" customHeight="1" s="25">
      <c r="A33" s="30" t="n">
        <v>29</v>
      </c>
      <c r="B33" s="31" t="inlineStr">
        <is>
          <t>한국사</t>
        </is>
      </c>
      <c r="C33" s="31" t="inlineStr">
        <is>
          <t>조선 전기</t>
        </is>
      </c>
      <c r="D33" s="32" t="inlineStr">
        <is>
          <t>조선 (1418년, 세종)</t>
        </is>
      </c>
      <c r="E33" s="33" t="inlineStr">
        <is>
          <t>『훈민정음 해례본』</t>
        </is>
      </c>
      <c r="F33" s="31" t="inlineStr">
        <is>
          <t>책</t>
        </is>
      </c>
      <c r="G33" s="32" t="inlineStr">
        <is>
          <t>새 글자를 만든 까닭과 원리를 풀어 쓴 책</t>
        </is>
      </c>
      <c r="H33" s="31" t="inlineStr">
        <is>
          <t>훈민정음_해례본.jpg</t>
        </is>
      </c>
      <c r="I33" s="35" t="inlineStr">
        <is>
          <t>✓</t>
        </is>
      </c>
      <c r="J33" s="36" t="inlineStr">
        <is>
          <t>국가유산청 (공공누리 1유형)</t>
        </is>
      </c>
    </row>
    <row r="34" ht="16.4" customHeight="1" s="25">
      <c r="A34" s="30" t="n">
        <v>30</v>
      </c>
      <c r="B34" s="31" t="inlineStr">
        <is>
          <t>한국사</t>
        </is>
      </c>
      <c r="C34" s="31" t="inlineStr">
        <is>
          <t>조선 전기</t>
        </is>
      </c>
      <c r="D34" s="32" t="inlineStr">
        <is>
          <t>조선 (1418년, 세종)</t>
        </is>
      </c>
      <c r="E34" s="33" t="inlineStr">
        <is>
          <t>『조선왕조실록』</t>
        </is>
      </c>
      <c r="F34" s="31" t="inlineStr">
        <is>
          <t>역사서</t>
        </is>
      </c>
      <c r="G34" s="32" t="inlineStr">
        <is>
          <t>왕마다 날마다 일어난 일을 적은 기록</t>
        </is>
      </c>
      <c r="H34" s="31" t="inlineStr">
        <is>
          <t>조선왕조실록.jpg</t>
        </is>
      </c>
      <c r="I34" s="35" t="inlineStr">
        <is>
          <t>✓</t>
        </is>
      </c>
      <c r="J34" s="36" t="inlineStr">
        <is>
          <t>국가유산청 (공공누리 1유형)</t>
        </is>
      </c>
    </row>
    <row r="35" ht="16.4" customHeight="1" s="25">
      <c r="A35" s="30" t="n">
        <v>31</v>
      </c>
      <c r="B35" s="31" t="inlineStr">
        <is>
          <t>한국사</t>
        </is>
      </c>
      <c r="C35" s="31" t="inlineStr">
        <is>
          <t>조선 전기</t>
        </is>
      </c>
      <c r="D35" s="32" t="inlineStr">
        <is>
          <t>조선 (1418년, 세종)</t>
        </is>
      </c>
      <c r="E35" s="33" t="inlineStr">
        <is>
          <t>자격루</t>
        </is>
      </c>
      <c r="F35" s="31" t="inlineStr">
        <is>
          <t>과학</t>
        </is>
      </c>
      <c r="G35" s="32" t="inlineStr">
        <is>
          <t>종과 북이 저절로 울리는 물시계</t>
        </is>
      </c>
      <c r="H35" s="31" t="inlineStr">
        <is>
          <t>자격루.jpg</t>
        </is>
      </c>
      <c r="I35" s="35" t="inlineStr">
        <is>
          <t>✓</t>
        </is>
      </c>
      <c r="J35" s="36" t="inlineStr">
        <is>
          <t>국가유산청 (공공누리 1유형)</t>
        </is>
      </c>
    </row>
    <row r="36" ht="16.4" customHeight="1" s="25">
      <c r="A36" s="30" t="n">
        <v>32</v>
      </c>
      <c r="B36" s="31" t="inlineStr">
        <is>
          <t>한국사</t>
        </is>
      </c>
      <c r="C36" s="31" t="inlineStr">
        <is>
          <t>조선 전기</t>
        </is>
      </c>
      <c r="D36" s="32" t="inlineStr">
        <is>
          <t>조선 (1418년, 세종)</t>
        </is>
      </c>
      <c r="E36" s="33" t="inlineStr">
        <is>
          <t>앙부일구</t>
        </is>
      </c>
      <c r="F36" s="31" t="inlineStr">
        <is>
          <t>과학</t>
        </is>
      </c>
      <c r="G36" s="32" t="inlineStr">
        <is>
          <t>솥 모양의 해시계</t>
        </is>
      </c>
      <c r="H36" s="31" t="inlineStr">
        <is>
          <t>앙부일구.jpg</t>
        </is>
      </c>
      <c r="I36" s="35" t="inlineStr">
        <is>
          <t>✓</t>
        </is>
      </c>
      <c r="J36" s="36" t="inlineStr">
        <is>
          <t>국가유산청 (공공누리 1유형)</t>
        </is>
      </c>
    </row>
    <row r="37" ht="16.4" customHeight="1" s="25">
      <c r="A37" s="30" t="n">
        <v>33</v>
      </c>
      <c r="B37" s="31" t="inlineStr">
        <is>
          <t>한국사</t>
        </is>
      </c>
      <c r="C37" s="31" t="inlineStr">
        <is>
          <t>조선 전기</t>
        </is>
      </c>
      <c r="D37" s="32" t="inlineStr">
        <is>
          <t>조선 (1418년, 세종)</t>
        </is>
      </c>
      <c r="E37" s="33" t="inlineStr">
        <is>
          <t>혼천의</t>
        </is>
      </c>
      <c r="F37" s="31" t="inlineStr">
        <is>
          <t>과학</t>
        </is>
      </c>
      <c r="G37" s="32" t="inlineStr">
        <is>
          <t>해·달·별의 움직임을 재는 기구</t>
        </is>
      </c>
      <c r="H37" s="31" t="inlineStr">
        <is>
          <t>혼천의.jpg</t>
        </is>
      </c>
      <c r="I37" s="35" t="inlineStr">
        <is>
          <t>✓</t>
        </is>
      </c>
      <c r="J37" s="36" t="inlineStr">
        <is>
          <t>국가유산청 (공공누리 1유형)</t>
        </is>
      </c>
    </row>
    <row r="38" ht="16.4" customHeight="1" s="25">
      <c r="A38" s="30" t="n">
        <v>34</v>
      </c>
      <c r="B38" s="31" t="inlineStr">
        <is>
          <t>한국사</t>
        </is>
      </c>
      <c r="C38" s="31" t="inlineStr">
        <is>
          <t>조선 전기</t>
        </is>
      </c>
      <c r="D38" s="32" t="inlineStr">
        <is>
          <t>조선 (1418년, 세종)</t>
        </is>
      </c>
      <c r="E38" s="33" t="inlineStr">
        <is>
          <t>측우기</t>
        </is>
      </c>
      <c r="F38" s="31" t="inlineStr">
        <is>
          <t>과학</t>
        </is>
      </c>
      <c r="G38" s="32" t="inlineStr">
        <is>
          <t>비의 양을 재는 기구</t>
        </is>
      </c>
      <c r="H38" s="31" t="inlineStr">
        <is>
          <t>측우기.jpg</t>
        </is>
      </c>
      <c r="I38" s="35" t="inlineStr">
        <is>
          <t>✓</t>
        </is>
      </c>
      <c r="J38" s="36" t="inlineStr">
        <is>
          <t>국가유산청 (공공누리 1유형)</t>
        </is>
      </c>
    </row>
    <row r="39" ht="16.4" customHeight="1" s="25">
      <c r="A39" s="30" t="n">
        <v>35</v>
      </c>
      <c r="B39" s="31" t="inlineStr">
        <is>
          <t>한국사</t>
        </is>
      </c>
      <c r="C39" s="31" t="inlineStr">
        <is>
          <t>조선 전기</t>
        </is>
      </c>
      <c r="D39" s="32" t="inlineStr">
        <is>
          <t>조선 (1418년, 세종)</t>
        </is>
      </c>
      <c r="E39" s="33" t="inlineStr">
        <is>
          <t>『농사직설』</t>
        </is>
      </c>
      <c r="F39" s="31" t="inlineStr">
        <is>
          <t>책</t>
        </is>
      </c>
      <c r="G39" s="32" t="inlineStr">
        <is>
          <t>우리 땅에 맞는 농사법 책</t>
        </is>
      </c>
      <c r="H39" s="31" t="inlineStr">
        <is>
          <t>농사직설.jpg</t>
        </is>
      </c>
      <c r="I39" s="35" t="inlineStr">
        <is>
          <t>✓</t>
        </is>
      </c>
      <c r="J39" s="36" t="inlineStr">
        <is>
          <t>국가유산청 (공공누리 1유형)</t>
        </is>
      </c>
    </row>
    <row r="40" ht="16.4" customHeight="1" s="25">
      <c r="A40" s="30" t="n">
        <v>36</v>
      </c>
      <c r="B40" s="31" t="inlineStr">
        <is>
          <t>한국사</t>
        </is>
      </c>
      <c r="C40" s="31" t="inlineStr">
        <is>
          <t>조선 전기</t>
        </is>
      </c>
      <c r="D40" s="32" t="inlineStr">
        <is>
          <t>조선 (1418년, 세종)</t>
        </is>
      </c>
      <c r="E40" s="33" t="inlineStr">
        <is>
          <t>종묘 제례악</t>
        </is>
      </c>
      <c r="F40" s="31" t="inlineStr">
        <is>
          <t>음악</t>
        </is>
      </c>
      <c r="G40" s="32" t="inlineStr">
        <is>
          <t>왕실 조상에게 올리는 제사 음악</t>
        </is>
      </c>
      <c r="H40" s="31" t="inlineStr">
        <is>
          <t>종묘_제례악.jpg</t>
        </is>
      </c>
      <c r="I40" s="35" t="inlineStr">
        <is>
          <t>✓</t>
        </is>
      </c>
      <c r="J40" s="36" t="inlineStr">
        <is>
          <t>국가유산청 (공공누리 1유형)</t>
        </is>
      </c>
    </row>
    <row r="41" ht="31.3" customHeight="1" s="25">
      <c r="A41" s="30" t="n">
        <v>37</v>
      </c>
      <c r="B41" s="31" t="inlineStr">
        <is>
          <t>한국사</t>
        </is>
      </c>
      <c r="C41" s="31" t="inlineStr">
        <is>
          <t>조선 중기·후기</t>
        </is>
      </c>
      <c r="D41" s="32" t="inlineStr">
        <is>
          <t>조선 1592 · 1627 · 1670 · 1724 · 상상 속 '지친 나라'</t>
        </is>
      </c>
      <c r="E41" s="33" t="inlineStr">
        <is>
          <t>『동의보감』</t>
        </is>
      </c>
      <c r="F41" s="31" t="inlineStr">
        <is>
          <t>책</t>
        </is>
      </c>
      <c r="G41" s="32" t="inlineStr">
        <is>
          <t>허준이 쓴 우리 의학 백과사전(1610)</t>
        </is>
      </c>
      <c r="H41" s="31" t="inlineStr">
        <is>
          <t>동의보감.jpg</t>
        </is>
      </c>
      <c r="I41" s="35" t="inlineStr">
        <is>
          <t>✓</t>
        </is>
      </c>
      <c r="J41" s="36" t="inlineStr">
        <is>
          <t>국가유산청 (공공누리 1유형)</t>
        </is>
      </c>
    </row>
    <row r="42" ht="31.3" customHeight="1" s="25">
      <c r="A42" s="30" t="n">
        <v>38</v>
      </c>
      <c r="B42" s="31" t="inlineStr">
        <is>
          <t>한국사</t>
        </is>
      </c>
      <c r="C42" s="31" t="inlineStr">
        <is>
          <t>조선 중기·후기</t>
        </is>
      </c>
      <c r="D42" s="32" t="inlineStr">
        <is>
          <t>조선 1592 · 1627 · 1670 · 1724 · 상상 속 '지친 나라'</t>
        </is>
      </c>
      <c r="E42" s="33" t="inlineStr">
        <is>
          <t>백자 달항아리</t>
        </is>
      </c>
      <c r="F42" s="31" t="inlineStr">
        <is>
          <t>공예</t>
        </is>
      </c>
      <c r="G42" s="32" t="inlineStr">
        <is>
          <t>보름달처럼 둥근 흰 항아리</t>
        </is>
      </c>
      <c r="H42" s="31" t="inlineStr">
        <is>
          <t>백자_달항아리.jpg</t>
        </is>
      </c>
      <c r="I42" s="35" t="inlineStr">
        <is>
          <t>✓</t>
        </is>
      </c>
      <c r="J42" s="36" t="inlineStr">
        <is>
          <t>국가유산청 (공공누리 1유형)</t>
        </is>
      </c>
    </row>
    <row r="43" ht="31.3" customHeight="1" s="25">
      <c r="A43" s="30" t="n">
        <v>39</v>
      </c>
      <c r="B43" s="31" t="inlineStr">
        <is>
          <t>한국사</t>
        </is>
      </c>
      <c r="C43" s="31" t="inlineStr">
        <is>
          <t>조선 중기·후기</t>
        </is>
      </c>
      <c r="D43" s="32" t="inlineStr">
        <is>
          <t>조선 1592 · 1627 · 1670 · 1724 · 상상 속 '지친 나라'</t>
        </is>
      </c>
      <c r="E43" s="33" t="inlineStr">
        <is>
          <t>정선의 「인왕제색도」</t>
        </is>
      </c>
      <c r="F43" s="31" t="inlineStr">
        <is>
          <t>그림</t>
        </is>
      </c>
      <c r="G43" s="32" t="inlineStr">
        <is>
          <t>우리 산천을 직접 보고 그린 진경산수화(1751)</t>
        </is>
      </c>
      <c r="H43" s="31" t="inlineStr">
        <is>
          <t>정선의_인왕제색도.jpg</t>
        </is>
      </c>
      <c r="I43" s="35" t="inlineStr">
        <is>
          <t>✓</t>
        </is>
      </c>
      <c r="J43" s="36" t="inlineStr">
        <is>
          <t>국가유산청 (공공누리 1유형)</t>
        </is>
      </c>
    </row>
    <row r="44" ht="31.3" customHeight="1" s="25">
      <c r="A44" s="30" t="n">
        <v>40</v>
      </c>
      <c r="B44" s="31" t="inlineStr">
        <is>
          <t>한국사</t>
        </is>
      </c>
      <c r="C44" s="31" t="inlineStr">
        <is>
          <t>조선 중기·후기</t>
        </is>
      </c>
      <c r="D44" s="32" t="inlineStr">
        <is>
          <t>조선 1592 · 1627 · 1670 · 1724 · 상상 속 '지친 나라'</t>
        </is>
      </c>
      <c r="E44" s="33" t="inlineStr">
        <is>
          <t>『징비록』</t>
        </is>
      </c>
      <c r="F44" s="31" t="inlineStr">
        <is>
          <t>역사서</t>
        </is>
      </c>
      <c r="G44" s="32" t="inlineStr">
        <is>
          <t>류성룡이 임진왜란을 돌아보며 쓴 기록</t>
        </is>
      </c>
      <c r="H44" s="31" t="inlineStr">
        <is>
          <t>징비록.jpg</t>
        </is>
      </c>
      <c r="I44" s="35" t="inlineStr">
        <is>
          <t>✓</t>
        </is>
      </c>
      <c r="J44" s="36" t="inlineStr">
        <is>
          <t>국가유산청 (공공누리 1유형)</t>
        </is>
      </c>
    </row>
    <row r="45" ht="31.3" customHeight="1" s="25">
      <c r="A45" s="30" t="n">
        <v>41</v>
      </c>
      <c r="B45" s="31" t="inlineStr">
        <is>
          <t>한국사</t>
        </is>
      </c>
      <c r="C45" s="31" t="inlineStr">
        <is>
          <t>조선 중기·후기</t>
        </is>
      </c>
      <c r="D45" s="32" t="inlineStr">
        <is>
          <t>조선 1592 · 1627 · 1670 · 1724 · 상상 속 '지친 나라'</t>
        </is>
      </c>
      <c r="E45" s="33" t="inlineStr">
        <is>
          <t>『반계수록』</t>
        </is>
      </c>
      <c r="F45" s="31" t="inlineStr">
        <is>
          <t>책</t>
        </is>
      </c>
      <c r="G45" s="32" t="inlineStr">
        <is>
          <t>유형원이 나라를 바꿀 방법을 쓴 실학 책</t>
        </is>
      </c>
      <c r="H45" s="31" t="inlineStr">
        <is>
          <t>반계수록.jpg</t>
        </is>
      </c>
      <c r="I45" s="35" t="inlineStr">
        <is>
          <t>✓</t>
        </is>
      </c>
      <c r="J45" s="36" t="inlineStr">
        <is>
          <t>국가유산청 (공공누리 1유형)</t>
        </is>
      </c>
    </row>
    <row r="46" ht="31.3" customHeight="1" s="25">
      <c r="A46" s="30" t="n">
        <v>42</v>
      </c>
      <c r="B46" s="31" t="inlineStr">
        <is>
          <t>한국사</t>
        </is>
      </c>
      <c r="C46" s="31" t="inlineStr">
        <is>
          <t>조선 중기·후기</t>
        </is>
      </c>
      <c r="D46" s="32" t="inlineStr">
        <is>
          <t>조선 1592 · 1627 · 1670 · 1724 · 상상 속 '지친 나라'</t>
        </is>
      </c>
      <c r="E46" s="33" t="inlineStr">
        <is>
          <t>『속대전』</t>
        </is>
      </c>
      <c r="F46" s="31" t="inlineStr">
        <is>
          <t>책</t>
        </is>
      </c>
      <c r="G46" s="32" t="inlineStr">
        <is>
          <t>영조 때 새로 고친 법전</t>
        </is>
      </c>
      <c r="H46" s="31" t="inlineStr">
        <is>
          <t>속대전.jpg</t>
        </is>
      </c>
      <c r="I46" s="35" t="inlineStr">
        <is>
          <t>✓</t>
        </is>
      </c>
      <c r="J46" s="36" t="inlineStr">
        <is>
          <t>국가유산청 (공공누리 1유형)</t>
        </is>
      </c>
    </row>
    <row r="47" ht="31.3" customHeight="1" s="25">
      <c r="A47" s="30" t="n">
        <v>43</v>
      </c>
      <c r="B47" s="31" t="inlineStr">
        <is>
          <t>한국사</t>
        </is>
      </c>
      <c r="C47" s="31" t="inlineStr">
        <is>
          <t>조선 중기·후기</t>
        </is>
      </c>
      <c r="D47" s="32" t="inlineStr">
        <is>
          <t>조선 1592 · 1627 · 1670 · 1724 · 상상 속 '지친 나라'</t>
        </is>
      </c>
      <c r="E47" s="33" t="inlineStr">
        <is>
          <t>판소리 춘향가</t>
        </is>
      </c>
      <c r="F47" s="31" t="inlineStr">
        <is>
          <t>음악</t>
        </is>
      </c>
      <c r="G47" s="32" t="inlineStr">
        <is>
          <t>소리꾼이 북장단에 맞춰 부르는 이야기 노래</t>
        </is>
      </c>
      <c r="H47" s="31" t="inlineStr">
        <is>
          <t>판소리_춘향가.jpg</t>
        </is>
      </c>
      <c r="I47" s="35" t="inlineStr">
        <is>
          <t>✓</t>
        </is>
      </c>
      <c r="J47" s="36" t="inlineStr">
        <is>
          <t>국가유산청 (공공누리 1유형)</t>
        </is>
      </c>
    </row>
    <row r="48" ht="31.3" customHeight="1" s="25">
      <c r="A48" s="30" t="n">
        <v>44</v>
      </c>
      <c r="B48" s="31" t="inlineStr">
        <is>
          <t>한국사</t>
        </is>
      </c>
      <c r="C48" s="31" t="inlineStr">
        <is>
          <t>조선 중기·후기</t>
        </is>
      </c>
      <c r="D48" s="32" t="inlineStr">
        <is>
          <t>조선 1592 · 1627 · 1670 · 1724 · 상상 속 '지친 나라'</t>
        </is>
      </c>
      <c r="E48" s="33" t="inlineStr">
        <is>
          <t>대동여지도의 밑그림</t>
        </is>
      </c>
      <c r="F48" s="31" t="inlineStr">
        <is>
          <t>지도</t>
        </is>
      </c>
      <c r="G48" s="32" t="inlineStr">
        <is>
          <t>온 나라를 걸어 그린 지도의 시작</t>
        </is>
      </c>
      <c r="H48" s="31" t="inlineStr">
        <is>
          <t>대동여지도의_밑그림.jpg</t>
        </is>
      </c>
      <c r="I48" s="35" t="inlineStr">
        <is>
          <t>✓</t>
        </is>
      </c>
      <c r="J48" s="36" t="inlineStr">
        <is>
          <t>국가유산청 (공공누리 1유형)</t>
        </is>
      </c>
    </row>
    <row r="49" ht="16.4" customHeight="1" s="25">
      <c r="A49" s="30" t="n">
        <v>45</v>
      </c>
      <c r="B49" s="31" t="inlineStr">
        <is>
          <t>한국사</t>
        </is>
      </c>
      <c r="C49" s="31" t="inlineStr">
        <is>
          <t>대한 제국</t>
        </is>
      </c>
      <c r="D49" s="32" t="inlineStr">
        <is>
          <t>대한 제국 (1897년)</t>
        </is>
      </c>
      <c r="E49" s="33" t="inlineStr">
        <is>
          <t>독립문</t>
        </is>
      </c>
      <c r="F49" s="31" t="inlineStr">
        <is>
          <t>건축</t>
        </is>
      </c>
      <c r="G49" s="34" t="inlineStr">
        <is>
          <t>'우리는 독립국'이라는 뜻을 담은 문(1897)</t>
        </is>
      </c>
      <c r="H49" s="31" t="inlineStr">
        <is>
          <t>독립문.jpg</t>
        </is>
      </c>
      <c r="I49" s="35" t="inlineStr">
        <is>
          <t>✓</t>
        </is>
      </c>
      <c r="J49" s="36" t="inlineStr">
        <is>
          <t>국가유산청 (공공누리 1유형)</t>
        </is>
      </c>
    </row>
    <row r="50" ht="16.4" customHeight="1" s="25">
      <c r="A50" s="30" t="n">
        <v>46</v>
      </c>
      <c r="B50" s="31" t="inlineStr">
        <is>
          <t>한국사</t>
        </is>
      </c>
      <c r="C50" s="31" t="inlineStr">
        <is>
          <t>대한 제국</t>
        </is>
      </c>
      <c r="D50" s="32" t="inlineStr">
        <is>
          <t>대한 제국 (1897년)</t>
        </is>
      </c>
      <c r="E50" s="33" t="inlineStr">
        <is>
          <t>『독립신문』</t>
        </is>
      </c>
      <c r="F50" s="31" t="inlineStr">
        <is>
          <t>책</t>
        </is>
      </c>
      <c r="G50" s="32" t="inlineStr">
        <is>
          <t>한글로 펴낸 첫 민간 신문(1896)</t>
        </is>
      </c>
      <c r="H50" s="31" t="inlineStr">
        <is>
          <t>독립신문.jpg</t>
        </is>
      </c>
      <c r="I50" s="35" t="inlineStr">
        <is>
          <t>✓</t>
        </is>
      </c>
      <c r="J50" s="36" t="inlineStr">
        <is>
          <t>국가유산청 (공공누리 1유형)</t>
        </is>
      </c>
    </row>
    <row r="51" ht="16.4" customHeight="1" s="25">
      <c r="A51" s="30" t="n">
        <v>47</v>
      </c>
      <c r="B51" s="31" t="inlineStr">
        <is>
          <t>한국사</t>
        </is>
      </c>
      <c r="C51" s="31" t="inlineStr">
        <is>
          <t>대한 제국</t>
        </is>
      </c>
      <c r="D51" s="32" t="inlineStr">
        <is>
          <t>대한 제국 (1897년)</t>
        </is>
      </c>
      <c r="E51" s="33" t="inlineStr">
        <is>
          <t>덕수궁 석조전</t>
        </is>
      </c>
      <c r="F51" s="31" t="inlineStr">
        <is>
          <t>건축</t>
        </is>
      </c>
      <c r="G51" s="32" t="inlineStr">
        <is>
          <t>대한 제국의 서양식 궁궐 건물</t>
        </is>
      </c>
      <c r="H51" s="31" t="inlineStr">
        <is>
          <t>덕수궁_석조전.jpg</t>
        </is>
      </c>
      <c r="I51" s="35" t="inlineStr">
        <is>
          <t>✓</t>
        </is>
      </c>
      <c r="J51" s="36" t="inlineStr">
        <is>
          <t>국가유산청 (공공누리 1유형)</t>
        </is>
      </c>
    </row>
    <row r="52" ht="16.4" customHeight="1" s="25">
      <c r="A52" s="30" t="n">
        <v>48</v>
      </c>
      <c r="B52" s="31" t="inlineStr">
        <is>
          <t>한국사</t>
        </is>
      </c>
      <c r="C52" s="31" t="inlineStr">
        <is>
          <t>대한 제국</t>
        </is>
      </c>
      <c r="D52" s="32" t="inlineStr">
        <is>
          <t>대한 제국 (1897년)</t>
        </is>
      </c>
      <c r="E52" s="33" t="inlineStr">
        <is>
          <t>환구단</t>
        </is>
      </c>
      <c r="F52" s="31" t="inlineStr">
        <is>
          <t>건축</t>
        </is>
      </c>
      <c r="G52" s="32" t="inlineStr">
        <is>
          <t>황제가 하늘에 제사 지내던 곳</t>
        </is>
      </c>
      <c r="H52" s="31" t="inlineStr">
        <is>
          <t>환구단.jpg</t>
        </is>
      </c>
      <c r="I52" s="35" t="inlineStr">
        <is>
          <t>✓</t>
        </is>
      </c>
      <c r="J52" s="36" t="inlineStr">
        <is>
          <t>국가유산청 (공공누리 1유형)</t>
        </is>
      </c>
    </row>
    <row r="53" ht="16.4" customHeight="1" s="25">
      <c r="A53" s="30" t="n">
        <v>49</v>
      </c>
      <c r="B53" s="31" t="inlineStr">
        <is>
          <t>한국사</t>
        </is>
      </c>
      <c r="C53" s="31" t="inlineStr">
        <is>
          <t>대한 제국</t>
        </is>
      </c>
      <c r="D53" s="32" t="inlineStr">
        <is>
          <t>대한 제국 (1897년)</t>
        </is>
      </c>
      <c r="E53" s="33" t="inlineStr">
        <is>
          <t>대한 제국 애국가</t>
        </is>
      </c>
      <c r="F53" s="31" t="inlineStr">
        <is>
          <t>음악</t>
        </is>
      </c>
      <c r="G53" s="34" t="inlineStr">
        <is>
          <t>1902년에 만든 나라의 노래</t>
        </is>
      </c>
      <c r="H53" s="31" t="inlineStr">
        <is>
          <t>대한_제국_애국가.jpg</t>
        </is>
      </c>
      <c r="I53" s="35" t="inlineStr">
        <is>
          <t>✓</t>
        </is>
      </c>
      <c r="J53" s="36" t="inlineStr">
        <is>
          <t>국가유산청 (공공누리 1유형)</t>
        </is>
      </c>
    </row>
    <row r="54" ht="16.4" customHeight="1" s="25">
      <c r="A54" s="30" t="n">
        <v>50</v>
      </c>
      <c r="B54" s="31" t="inlineStr">
        <is>
          <t>한국사</t>
        </is>
      </c>
      <c r="C54" s="31" t="inlineStr">
        <is>
          <t>대한 제국</t>
        </is>
      </c>
      <c r="D54" s="32" t="inlineStr">
        <is>
          <t>대한 제국 (1897년)</t>
        </is>
      </c>
      <c r="E54" s="33" t="inlineStr">
        <is>
          <t>『조선말 큰사전』 원고</t>
        </is>
      </c>
      <c r="F54" s="31" t="inlineStr">
        <is>
          <t>책</t>
        </is>
      </c>
      <c r="G54" s="32" t="inlineStr">
        <is>
          <t>조선어 학회가 지켜 낸 우리말 사전</t>
        </is>
      </c>
      <c r="H54" s="31" t="inlineStr">
        <is>
          <t>조선말_큰사전_원고.jpg</t>
        </is>
      </c>
      <c r="I54" s="35" t="inlineStr">
        <is>
          <t>✓</t>
        </is>
      </c>
      <c r="J54" s="36" t="inlineStr">
        <is>
          <t>국가유산청 (공공누리 1유형)</t>
        </is>
      </c>
    </row>
    <row r="55" ht="16.4" customHeight="1" s="25">
      <c r="A55" s="40" t="n">
        <v>51</v>
      </c>
      <c r="B55" s="41" t="inlineStr">
        <is>
          <t>세계사</t>
        </is>
      </c>
      <c r="C55" s="41" t="inlineStr">
        <is>
          <t>몽골 제국</t>
        </is>
      </c>
      <c r="D55" s="42" t="inlineStr">
        <is>
          <t>몽골 (1206년)</t>
        </is>
      </c>
      <c r="E55" s="43" t="inlineStr">
        <is>
          <t>『몽골비사』</t>
        </is>
      </c>
      <c r="F55" s="41" t="inlineStr">
        <is>
          <t>역사서</t>
        </is>
      </c>
      <c r="G55" s="42" t="inlineStr">
        <is>
          <t>칭기즈 칸의 이야기를 담은 몽골의 역사책</t>
        </is>
      </c>
      <c r="H55" s="41" t="inlineStr">
        <is>
          <t>몽골비사.jpg</t>
        </is>
      </c>
      <c r="I55" s="35" t="n"/>
      <c r="J55" s="36" t="n"/>
    </row>
    <row r="56" ht="16.4" customHeight="1" s="25">
      <c r="A56" s="40" t="n">
        <v>52</v>
      </c>
      <c r="B56" s="41" t="inlineStr">
        <is>
          <t>세계사</t>
        </is>
      </c>
      <c r="C56" s="41" t="inlineStr">
        <is>
          <t>몽골 제국</t>
        </is>
      </c>
      <c r="D56" s="42" t="inlineStr">
        <is>
          <t>몽골 (1206년)</t>
        </is>
      </c>
      <c r="E56" s="43" t="inlineStr">
        <is>
          <t>파이자(통행증)</t>
        </is>
      </c>
      <c r="F56" s="41" t="inlineStr">
        <is>
          <t>공예</t>
        </is>
      </c>
      <c r="G56" s="42" t="inlineStr">
        <is>
          <t>제국 어디든 지나갈 수 있는 금패</t>
        </is>
      </c>
      <c r="H56" s="41" t="inlineStr">
        <is>
          <t>파이자통행증.jpg</t>
        </is>
      </c>
      <c r="I56" s="35" t="n"/>
      <c r="J56" s="36" t="n"/>
    </row>
    <row r="57" ht="16.4" customHeight="1" s="25">
      <c r="A57" s="40" t="n">
        <v>53</v>
      </c>
      <c r="B57" s="41" t="inlineStr">
        <is>
          <t>세계사</t>
        </is>
      </c>
      <c r="C57" s="41" t="inlineStr">
        <is>
          <t>몽골 제국</t>
        </is>
      </c>
      <c r="D57" s="42" t="inlineStr">
        <is>
          <t>몽골 (1206년)</t>
        </is>
      </c>
      <c r="E57" s="43" t="inlineStr">
        <is>
          <t>카라코룸 은나무 분수</t>
        </is>
      </c>
      <c r="F57" s="41" t="inlineStr">
        <is>
          <t>공예</t>
        </is>
      </c>
      <c r="G57" s="42" t="inlineStr">
        <is>
          <t>음료가 흘러나오는 은으로 만든 나무</t>
        </is>
      </c>
      <c r="H57" s="41" t="inlineStr">
        <is>
          <t>카라코룸_은나무_분수.jpg</t>
        </is>
      </c>
      <c r="I57" s="35" t="n"/>
      <c r="J57" s="36" t="n"/>
    </row>
    <row r="58" ht="16.4" customHeight="1" s="25">
      <c r="A58" s="40" t="n">
        <v>54</v>
      </c>
      <c r="B58" s="41" t="inlineStr">
        <is>
          <t>세계사</t>
        </is>
      </c>
      <c r="C58" s="41" t="inlineStr">
        <is>
          <t>몽골 제국</t>
        </is>
      </c>
      <c r="D58" s="42" t="inlineStr">
        <is>
          <t>몽골 (1206년)</t>
        </is>
      </c>
      <c r="E58" s="43" t="inlineStr">
        <is>
          <t>역참 지도</t>
        </is>
      </c>
      <c r="F58" s="41" t="inlineStr">
        <is>
          <t>지도</t>
        </is>
      </c>
      <c r="G58" s="42" t="inlineStr">
        <is>
          <t>말을 갈아타는 길을 그린 지도</t>
        </is>
      </c>
      <c r="H58" s="41" t="inlineStr">
        <is>
          <t>역참_지도.jpg</t>
        </is>
      </c>
      <c r="I58" s="35" t="n"/>
      <c r="J58" s="36" t="n"/>
    </row>
    <row r="59" ht="16.4" customHeight="1" s="25">
      <c r="A59" s="40" t="n">
        <v>55</v>
      </c>
      <c r="B59" s="41" t="inlineStr">
        <is>
          <t>세계사</t>
        </is>
      </c>
      <c r="C59" s="41" t="inlineStr">
        <is>
          <t>프랑스</t>
        </is>
      </c>
      <c r="D59" s="42" t="inlineStr">
        <is>
          <t>프랑스 혁명 (1789년)</t>
        </is>
      </c>
      <c r="E59" s="43" t="inlineStr">
        <is>
          <t>『인권 선언』</t>
        </is>
      </c>
      <c r="F59" s="41" t="inlineStr">
        <is>
          <t>책</t>
        </is>
      </c>
      <c r="G59" s="42" t="inlineStr">
        <is>
          <t>사람은 자유롭고 평등하다는 선언(1789)</t>
        </is>
      </c>
      <c r="H59" s="41" t="inlineStr">
        <is>
          <t>인권_선언.jpg</t>
        </is>
      </c>
      <c r="I59" s="35" t="n"/>
      <c r="J59" s="36" t="n"/>
    </row>
    <row r="60" ht="16.4" customHeight="1" s="25">
      <c r="A60" s="40" t="n">
        <v>56</v>
      </c>
      <c r="B60" s="41" t="inlineStr">
        <is>
          <t>세계사</t>
        </is>
      </c>
      <c r="C60" s="41" t="inlineStr">
        <is>
          <t>프랑스</t>
        </is>
      </c>
      <c r="D60" s="42" t="inlineStr">
        <is>
          <t>프랑스 혁명 (1789년)</t>
        </is>
      </c>
      <c r="E60" s="43" t="inlineStr">
        <is>
          <t>『백과전서』</t>
        </is>
      </c>
      <c r="F60" s="41" t="inlineStr">
        <is>
          <t>책</t>
        </is>
      </c>
      <c r="G60" s="42" t="inlineStr">
        <is>
          <t>세상의 지식을 모은 큰 사전</t>
        </is>
      </c>
      <c r="H60" s="41" t="inlineStr">
        <is>
          <t>백과전서.jpg</t>
        </is>
      </c>
      <c r="I60" s="35" t="n"/>
      <c r="J60" s="36" t="n"/>
    </row>
    <row r="61" ht="16.4" customHeight="1" s="25">
      <c r="A61" s="40" t="n">
        <v>57</v>
      </c>
      <c r="B61" s="41" t="inlineStr">
        <is>
          <t>세계사</t>
        </is>
      </c>
      <c r="C61" s="41" t="inlineStr">
        <is>
          <t>프랑스</t>
        </is>
      </c>
      <c r="D61" s="42" t="inlineStr">
        <is>
          <t>프랑스 혁명 (1789년)</t>
        </is>
      </c>
      <c r="E61" s="43" t="inlineStr">
        <is>
          <t>『나폴레옹 법전』</t>
        </is>
      </c>
      <c r="F61" s="41" t="inlineStr">
        <is>
          <t>책</t>
        </is>
      </c>
      <c r="G61" s="42" t="inlineStr">
        <is>
          <t>모든 시민이 법 앞에 평등한 법전</t>
        </is>
      </c>
      <c r="H61" s="41" t="inlineStr">
        <is>
          <t>나폴레옹_법전.jpg</t>
        </is>
      </c>
      <c r="I61" s="35" t="n"/>
      <c r="J61" s="36" t="n"/>
    </row>
    <row r="62" ht="16.4" customHeight="1" s="25">
      <c r="A62" s="40" t="n">
        <v>58</v>
      </c>
      <c r="B62" s="41" t="inlineStr">
        <is>
          <t>세계사</t>
        </is>
      </c>
      <c r="C62" s="41" t="inlineStr">
        <is>
          <t>프랑스</t>
        </is>
      </c>
      <c r="D62" s="42" t="inlineStr">
        <is>
          <t>프랑스 혁명 (1789년)</t>
        </is>
      </c>
      <c r="E62" s="43" t="inlineStr">
        <is>
          <t>루브르 박물관</t>
        </is>
      </c>
      <c r="F62" s="41" t="inlineStr">
        <is>
          <t>건축</t>
        </is>
      </c>
      <c r="G62" s="42" t="inlineStr">
        <is>
          <t>왕궁을 모두의 박물관으로 바꾸다</t>
        </is>
      </c>
      <c r="H62" s="41" t="inlineStr">
        <is>
          <t>루브르_박물관.jpg</t>
        </is>
      </c>
      <c r="I62" s="35" t="n"/>
      <c r="J62" s="36" t="n"/>
    </row>
    <row r="63" ht="31.3" customHeight="1" s="25">
      <c r="A63" s="40" t="n">
        <v>59</v>
      </c>
      <c r="B63" s="41" t="inlineStr">
        <is>
          <t>세계사</t>
        </is>
      </c>
      <c r="C63" s="41" t="inlineStr">
        <is>
          <t>아메리카 원주민</t>
        </is>
      </c>
      <c r="D63" s="42" t="inlineStr">
        <is>
          <t>아메리카 원주민 (1600~1890년)</t>
        </is>
      </c>
      <c r="E63" s="43" t="inlineStr">
        <is>
          <t>체로키 문자 신문</t>
        </is>
      </c>
      <c r="F63" s="41" t="inlineStr">
        <is>
          <t>책</t>
        </is>
      </c>
      <c r="G63" s="42" t="inlineStr">
        <is>
          <t>세쿼이아의 글자로 펴낸 신문(1828)</t>
        </is>
      </c>
      <c r="H63" s="41" t="inlineStr">
        <is>
          <t>체로키_문자_신문.jpg</t>
        </is>
      </c>
      <c r="I63" s="35" t="n"/>
      <c r="J63" s="36" t="n"/>
    </row>
    <row r="64" ht="31.3" customHeight="1" s="25">
      <c r="A64" s="40" t="n">
        <v>60</v>
      </c>
      <c r="B64" s="41" t="inlineStr">
        <is>
          <t>세계사</t>
        </is>
      </c>
      <c r="C64" s="41" t="inlineStr">
        <is>
          <t>아메리카 원주민</t>
        </is>
      </c>
      <c r="D64" s="42" t="inlineStr">
        <is>
          <t>아메리카 원주민 (1600~1890년)</t>
        </is>
      </c>
      <c r="E64" s="43" t="inlineStr">
        <is>
          <t>윈터 카운트</t>
        </is>
      </c>
      <c r="F64" s="41" t="inlineStr">
        <is>
          <t>그림</t>
        </is>
      </c>
      <c r="G64" s="42" t="inlineStr">
        <is>
          <t>버펄로 가죽에 해마다 그린 그림 달력</t>
        </is>
      </c>
      <c r="H64" s="41" t="inlineStr">
        <is>
          <t>윈터_카운트.jpg</t>
        </is>
      </c>
      <c r="I64" s="35" t="n"/>
      <c r="J64" s="36" t="n"/>
    </row>
    <row r="65" ht="31.3" customHeight="1" s="25">
      <c r="A65" s="40" t="n">
        <v>61</v>
      </c>
      <c r="B65" s="41" t="inlineStr">
        <is>
          <t>세계사</t>
        </is>
      </c>
      <c r="C65" s="41" t="inlineStr">
        <is>
          <t>아메리카 원주민</t>
        </is>
      </c>
      <c r="D65" s="42" t="inlineStr">
        <is>
          <t>아메리카 원주민 (1600~1890년)</t>
        </is>
      </c>
      <c r="E65" s="43" t="inlineStr">
        <is>
          <t>토템 폴</t>
        </is>
      </c>
      <c r="F65" s="41" t="inlineStr">
        <is>
          <t>공예</t>
        </is>
      </c>
      <c r="G65" s="42" t="inlineStr">
        <is>
          <t>부족의 이야기를 새긴 큰 나무 기둥</t>
        </is>
      </c>
      <c r="H65" s="41" t="inlineStr">
        <is>
          <t>토템_폴.jpg</t>
        </is>
      </c>
      <c r="I65" s="35" t="n"/>
      <c r="J65" s="36" t="n"/>
    </row>
    <row r="66" ht="31.3" customHeight="1" s="25">
      <c r="A66" s="40" t="n">
        <v>62</v>
      </c>
      <c r="B66" s="41" t="inlineStr">
        <is>
          <t>세계사</t>
        </is>
      </c>
      <c r="C66" s="41" t="inlineStr">
        <is>
          <t>아메리카 원주민</t>
        </is>
      </c>
      <c r="D66" s="42" t="inlineStr">
        <is>
          <t>아메리카 원주민 (1600~1890년)</t>
        </is>
      </c>
      <c r="E66" s="43" t="inlineStr">
        <is>
          <t>깃털 머리 장식</t>
        </is>
      </c>
      <c r="F66" s="41" t="inlineStr">
        <is>
          <t>공예</t>
        </is>
      </c>
      <c r="G66" s="42" t="inlineStr">
        <is>
          <t>용감한 일을 할 때마다 깃털을 더해요</t>
        </is>
      </c>
      <c r="H66" s="41" t="inlineStr">
        <is>
          <t>깃털_머리_장식.jpg</t>
        </is>
      </c>
      <c r="I66" s="35" t="n"/>
      <c r="J66" s="36" t="n"/>
    </row>
    <row r="67" ht="16.4" customHeight="1" s="25">
      <c r="A67" s="40" t="n">
        <v>63</v>
      </c>
      <c r="B67" s="41" t="inlineStr">
        <is>
          <t>세계사</t>
        </is>
      </c>
      <c r="C67" s="41" t="inlineStr">
        <is>
          <t>잉글랜드</t>
        </is>
      </c>
      <c r="D67" s="42" t="inlineStr">
        <is>
          <t>흑사병 잉글랜드 (1347년)</t>
        </is>
      </c>
      <c r="E67" s="43" t="inlineStr">
        <is>
          <t>『캔터베리 이야기』</t>
        </is>
      </c>
      <c r="F67" s="41" t="inlineStr">
        <is>
          <t>책</t>
        </is>
      </c>
      <c r="G67" s="42" t="inlineStr">
        <is>
          <t>초서가 영어로 쓴 이야기 모음</t>
        </is>
      </c>
      <c r="H67" s="41" t="inlineStr">
        <is>
          <t>캔터베리_이야기.jpg</t>
        </is>
      </c>
      <c r="I67" s="35" t="n"/>
      <c r="J67" s="36" t="n"/>
    </row>
    <row r="68" ht="16.4" customHeight="1" s="25">
      <c r="A68" s="40" t="n">
        <v>64</v>
      </c>
      <c r="B68" s="41" t="inlineStr">
        <is>
          <t>세계사</t>
        </is>
      </c>
      <c r="C68" s="41" t="inlineStr">
        <is>
          <t>잉글랜드</t>
        </is>
      </c>
      <c r="D68" s="42" t="inlineStr">
        <is>
          <t>흑사병 잉글랜드 (1347년)</t>
        </is>
      </c>
      <c r="E68" s="43" t="inlineStr">
        <is>
          <t>고딕 대성당</t>
        </is>
      </c>
      <c r="F68" s="41" t="inlineStr">
        <is>
          <t>건축</t>
        </is>
      </c>
      <c r="G68" s="42" t="inlineStr">
        <is>
          <t>뾰족한 탑과 스테인드글라스의 성당</t>
        </is>
      </c>
      <c r="H68" s="41" t="inlineStr">
        <is>
          <t>고딕_대성당.jpg</t>
        </is>
      </c>
      <c r="I68" s="35" t="n"/>
      <c r="J68" s="36" t="n"/>
    </row>
    <row r="69" ht="16.4" customHeight="1" s="25">
      <c r="A69" s="40" t="n">
        <v>65</v>
      </c>
      <c r="B69" s="41" t="inlineStr">
        <is>
          <t>세계사</t>
        </is>
      </c>
      <c r="C69" s="41" t="inlineStr">
        <is>
          <t>잉글랜드</t>
        </is>
      </c>
      <c r="D69" s="42" t="inlineStr">
        <is>
          <t>흑사병 잉글랜드 (1347년)</t>
        </is>
      </c>
      <c r="E69" s="43" t="inlineStr">
        <is>
          <t>채색 필사본</t>
        </is>
      </c>
      <c r="F69" s="41" t="inlineStr">
        <is>
          <t>책</t>
        </is>
      </c>
      <c r="G69" s="42" t="inlineStr">
        <is>
          <t>금빛 그림을 그려 넣은 손글씨 책</t>
        </is>
      </c>
      <c r="H69" s="41" t="inlineStr">
        <is>
          <t>채색_필사본.jpg</t>
        </is>
      </c>
      <c r="I69" s="35" t="n"/>
      <c r="J69" s="36" t="n"/>
    </row>
    <row r="70" ht="16.4" customHeight="1" s="25">
      <c r="A70" s="40" t="n">
        <v>66</v>
      </c>
      <c r="B70" s="41" t="inlineStr">
        <is>
          <t>세계사</t>
        </is>
      </c>
      <c r="C70" s="41" t="inlineStr">
        <is>
          <t>잉글랜드</t>
        </is>
      </c>
      <c r="D70" s="42" t="inlineStr">
        <is>
          <t>흑사병 잉글랜드 (1347년)</t>
        </is>
      </c>
      <c r="E70" s="43" t="inlineStr">
        <is>
          <t>장궁(긴 활)</t>
        </is>
      </c>
      <c r="F70" s="41" t="inlineStr">
        <is>
          <t>공예</t>
        </is>
      </c>
      <c r="G70" s="42" t="inlineStr">
        <is>
          <t>크레시 전투를 이긴 긴 활</t>
        </is>
      </c>
      <c r="H70" s="41" t="inlineStr">
        <is>
          <t>장궁긴_활.jpg</t>
        </is>
      </c>
      <c r="I70" s="35" t="n"/>
      <c r="J70" s="36" t="n"/>
    </row>
    <row r="71" ht="16.4" customHeight="1" s="25">
      <c r="A71" s="40" t="n">
        <v>67</v>
      </c>
      <c r="B71" s="41" t="inlineStr">
        <is>
          <t>세계사</t>
        </is>
      </c>
      <c r="C71" s="41" t="inlineStr">
        <is>
          <t>촉한(삼국지)</t>
        </is>
      </c>
      <c r="D71" s="42" t="inlineStr">
        <is>
          <t>촉한 (221년)</t>
        </is>
      </c>
      <c r="E71" s="43" t="inlineStr">
        <is>
          <t>「출사표」</t>
        </is>
      </c>
      <c r="F71" s="41" t="inlineStr">
        <is>
          <t>책</t>
        </is>
      </c>
      <c r="G71" s="42" t="inlineStr">
        <is>
          <t>제갈량이 북벌을 떠나며 황제에게 올린 글</t>
        </is>
      </c>
      <c r="H71" s="41" t="inlineStr">
        <is>
          <t>출사표.jpg</t>
        </is>
      </c>
      <c r="I71" s="35" t="n"/>
      <c r="J71" s="36" t="n"/>
    </row>
    <row r="72" ht="16.4" customHeight="1" s="25">
      <c r="A72" s="40" t="n">
        <v>68</v>
      </c>
      <c r="B72" s="41" t="inlineStr">
        <is>
          <t>세계사</t>
        </is>
      </c>
      <c r="C72" s="41" t="inlineStr">
        <is>
          <t>촉한(삼국지)</t>
        </is>
      </c>
      <c r="D72" s="42" t="inlineStr">
        <is>
          <t>촉한 (221년)</t>
        </is>
      </c>
      <c r="E72" s="43" t="inlineStr">
        <is>
          <t>목우유마</t>
        </is>
      </c>
      <c r="F72" s="41" t="inlineStr">
        <is>
          <t>과학</t>
        </is>
      </c>
      <c r="G72" s="42" t="inlineStr">
        <is>
          <t>제갈량이 만들었다는 군량 나르는 수레</t>
        </is>
      </c>
      <c r="H72" s="41" t="inlineStr">
        <is>
          <t>목우유마.jpg</t>
        </is>
      </c>
      <c r="I72" s="35" t="n"/>
      <c r="J72" s="36" t="n"/>
    </row>
    <row r="73" ht="16.4" customHeight="1" s="25">
      <c r="A73" s="40" t="n">
        <v>69</v>
      </c>
      <c r="B73" s="41" t="inlineStr">
        <is>
          <t>세계사</t>
        </is>
      </c>
      <c r="C73" s="41" t="inlineStr">
        <is>
          <t>촉한(삼국지)</t>
        </is>
      </c>
      <c r="D73" s="42" t="inlineStr">
        <is>
          <t>촉한 (221년)</t>
        </is>
      </c>
      <c r="E73" s="43" t="inlineStr">
        <is>
          <t>촉 비단(촉금)</t>
        </is>
      </c>
      <c r="F73" s="41" t="inlineStr">
        <is>
          <t>공예</t>
        </is>
      </c>
      <c r="G73" s="42" t="inlineStr">
        <is>
          <t>촉 땅에서 짠 이름난 비단</t>
        </is>
      </c>
      <c r="H73" s="41" t="inlineStr">
        <is>
          <t>촉_비단촉금.jpg</t>
        </is>
      </c>
      <c r="I73" s="35" t="n"/>
      <c r="J73" s="36" t="n"/>
    </row>
    <row r="74" ht="16.4" customHeight="1" s="25">
      <c r="A74" s="40" t="n">
        <v>70</v>
      </c>
      <c r="B74" s="41" t="inlineStr">
        <is>
          <t>세계사</t>
        </is>
      </c>
      <c r="C74" s="41" t="inlineStr">
        <is>
          <t>촉한(삼국지)</t>
        </is>
      </c>
      <c r="D74" s="42" t="inlineStr">
        <is>
          <t>촉한 (221년)</t>
        </is>
      </c>
      <c r="E74" s="43" t="inlineStr">
        <is>
          <t>무후사</t>
        </is>
      </c>
      <c r="F74" s="41" t="inlineStr">
        <is>
          <t>건축</t>
        </is>
      </c>
      <c r="G74" s="42" t="inlineStr">
        <is>
          <t>제갈량을 기리는 사당</t>
        </is>
      </c>
      <c r="H74" s="41" t="inlineStr">
        <is>
          <t>무후사.jpg</t>
        </is>
      </c>
      <c r="I74" s="35" t="n"/>
      <c r="J74" s="36" t="n"/>
    </row>
  </sheetData>
  <mergeCells count="1">
    <mergeCell ref="A2:J2"/>
  </mergeCells>
  <dataValidations count="1">
    <dataValidation sqref="I5:I74" showDropDown="0" showInputMessage="0" showErrorMessage="0" allowBlank="1" type="list" errorStyle="stop" operator="between">
      <formula1>"✓"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52" customWidth="1" style="24" min="2" max="2"/>
    <col width="44" customWidth="1" style="24" min="3" max="3"/>
  </cols>
  <sheetData>
    <row r="1" ht="16.4" customHeight="1" s="25">
      <c r="A1" s="44" t="inlineStr">
        <is>
          <t>어디서</t>
        </is>
      </c>
      <c r="B1" s="44" t="inlineStr">
        <is>
          <t>무엇이 좋은가</t>
        </is>
      </c>
      <c r="C1" s="44" t="inlineStr">
        <is>
          <t>이용 조건</t>
        </is>
      </c>
    </row>
    <row r="2" ht="16.4" customHeight="1" s="25">
      <c r="A2" s="45" t="inlineStr">
        <is>
          <t>국가유산포털 (heritage.go.kr)</t>
        </is>
      </c>
      <c r="B2" s="46" t="inlineStr">
        <is>
          <t>국보·보물 등 우리 문화유산 사진이 가장 많음</t>
        </is>
      </c>
      <c r="C2" s="46" t="inlineStr">
        <is>
          <t>대부분 공공누리 제1유형: 출처 표시 후 자유 이용</t>
        </is>
      </c>
    </row>
    <row r="3" ht="16.4" customHeight="1" s="25">
      <c r="A3" s="47" t="inlineStr">
        <is>
          <t>e뮤지엄 (emuseum.go.kr)</t>
        </is>
      </c>
      <c r="B3" s="46" t="inlineStr">
        <is>
          <t>국립박물관 소장 유물(금관, 향로, 청자 등) 고화질</t>
        </is>
      </c>
      <c r="C3" s="46" t="inlineStr">
        <is>
          <t>공공누리 유형을 사진마다 확인</t>
        </is>
      </c>
    </row>
    <row r="4" ht="16.4" customHeight="1" s="25">
      <c r="A4" s="45" t="inlineStr">
        <is>
          <t>국립중앙박물관 (museum.go.kr)</t>
        </is>
      </c>
      <c r="B4" s="46" t="inlineStr">
        <is>
          <t>소장품 검색에서 고화질 사진 내려받기</t>
        </is>
      </c>
      <c r="C4" s="46" t="inlineStr">
        <is>
          <t>공공누리 제1유형 표시가 있는 것만</t>
        </is>
      </c>
    </row>
    <row r="5" ht="29.1" customHeight="1" s="25">
      <c r="A5" s="45" t="inlineStr">
        <is>
          <t>위키미디어 공용 (commons.wikimedia.org)</t>
        </is>
      </c>
      <c r="B5" s="46" t="inlineStr">
        <is>
          <t>세계사 유물·건축 사진</t>
        </is>
      </c>
      <c r="C5" s="48" t="inlineStr">
        <is>
          <t>CC BY / CC BY-SA: 저작자와 라이선스 표시 필요</t>
        </is>
      </c>
    </row>
    <row r="6" ht="31.3" customHeight="1" s="25">
      <c r="A6" s="45" t="inlineStr">
        <is>
          <t>팁</t>
        </is>
      </c>
      <c r="B6" s="46" t="inlineStr">
        <is>
          <t>가로 사진, 유물이 가운데에 크게 나온 사진이 좋아요. 크기는 상관없어요(제가 줄여요).</t>
        </is>
      </c>
      <c r="C6" s="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2026-10-14T01:18:01Z</dcterms:created>
  <dcterms:modified xmlns:dcterms="http://purl.org/dc/terms/" xmlns:xsi="http://www.w3.org/2001/XMLSchema-instance" xsi:type="dcterms:W3CDTF">2026-10-15T08:22:15Z</dcterms:modified>
  <cp:revision>0</cp:revision>
</cp:coreProperties>
</file>